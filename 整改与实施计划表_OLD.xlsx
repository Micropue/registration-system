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micropue/Desktop/前后端项目/虎虎校园跑登记系统/"/>
    </mc:Choice>
  </mc:AlternateContent>
  <xr:revisionPtr revIDLastSave="0" documentId="8_{08232755-5CA0-4041-93D2-9D19A38174E6}" xr6:coauthVersionLast="47" xr6:coauthVersionMax="47" xr10:uidLastSave="{00000000-0000-0000-0000-000000000000}"/>
  <bookViews>
    <workbookView xWindow="0" yWindow="1040" windowWidth="29400" windowHeight="16960" xr2:uid="{9DB7FF6E-2683-AE40-AAEF-56B36CD941DB}"/>
  </bookViews>
  <sheets>
    <sheet name="Sheet1" sheetId="1" r:id="rId1"/>
  </sheets>
  <definedNames>
    <definedName name="_xlnm._FilterDatabase" localSheetId="0" hidden="1">Sheet1!$A$1:$L$46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1" l="1"/>
  <c r="G43" i="1"/>
  <c r="G42" i="1"/>
  <c r="G41" i="1"/>
  <c r="E45" i="1"/>
  <c r="G40" i="1"/>
  <c r="G39" i="1"/>
  <c r="G38" i="1"/>
  <c r="G37" i="1"/>
  <c r="G36" i="1"/>
  <c r="G35" i="1"/>
  <c r="G34" i="1"/>
  <c r="G33" i="1"/>
  <c r="G32" i="1"/>
  <c r="G31" i="1"/>
  <c r="G30" i="1"/>
  <c r="G28" i="1"/>
  <c r="G29" i="1"/>
  <c r="F27" i="1"/>
  <c r="G27" i="1" s="1"/>
  <c r="F26" i="1"/>
  <c r="G26" i="1" s="1"/>
  <c r="F24" i="1"/>
  <c r="G24" i="1" s="1"/>
  <c r="F23" i="1"/>
  <c r="F45" i="1" s="1"/>
  <c r="G25" i="1"/>
  <c r="G22" i="1"/>
  <c r="G21" i="1"/>
  <c r="G20" i="1"/>
  <c r="J46" i="1"/>
  <c r="G19" i="1"/>
  <c r="G18" i="1"/>
  <c r="G3" i="1"/>
  <c r="G4" i="1"/>
  <c r="G5" i="1"/>
  <c r="G6" i="1"/>
  <c r="G7" i="1"/>
  <c r="G8" i="1"/>
  <c r="G9" i="1"/>
  <c r="G10" i="1"/>
  <c r="G11" i="1"/>
  <c r="G12" i="1"/>
  <c r="G13" i="1"/>
  <c r="G14" i="1"/>
  <c r="G15" i="1"/>
  <c r="G16" i="1"/>
  <c r="G17" i="1"/>
  <c r="G2" i="1"/>
  <c r="G23" i="1" l="1"/>
  <c r="G45" i="1" l="1"/>
</calcChain>
</file>

<file path=xl/sharedStrings.xml><?xml version="1.0" encoding="utf-8"?>
<sst xmlns="http://schemas.openxmlformats.org/spreadsheetml/2006/main" count="281" uniqueCount="98">
  <si>
    <t>编号</t>
    <phoneticPr fontId="1" type="noConversion"/>
  </si>
  <si>
    <t>功能</t>
    <phoneticPr fontId="1" type="noConversion"/>
  </si>
  <si>
    <t>功能细节</t>
    <phoneticPr fontId="1" type="noConversion"/>
  </si>
  <si>
    <t>功能类型</t>
    <phoneticPr fontId="1" type="noConversion"/>
  </si>
  <si>
    <t>通知功能修改为仅显示未处理的任务</t>
    <phoneticPr fontId="1" type="noConversion"/>
  </si>
  <si>
    <t>编辑App模板支持复刻其他App模版</t>
    <phoneticPr fontId="1" type="noConversion"/>
  </si>
  <si>
    <t>公告功能</t>
    <phoneticPr fontId="1" type="noConversion"/>
  </si>
  <si>
    <t>修改全局消息通知逻辑。</t>
    <phoneticPr fontId="1" type="noConversion"/>
  </si>
  <si>
    <t>编辑/修改/发布/管理</t>
    <phoneticPr fontId="1" type="noConversion"/>
  </si>
  <si>
    <t>模板字段值自行配置加粗/字体颜色/字体大小功能</t>
    <phoneticPr fontId="1" type="noConversion"/>
  </si>
  <si>
    <t>下属用户系统修改</t>
    <phoneticPr fontId="1" type="noConversion"/>
  </si>
  <si>
    <t>订单处理表格跑量文本改为红色加粗</t>
    <phoneticPr fontId="1" type="noConversion"/>
  </si>
  <si>
    <t>订单处理详情范围类选择器，实际展示成短横线连接而非“，”</t>
    <phoneticPr fontId="1" type="noConversion"/>
  </si>
  <si>
    <t>订单信息修改功能</t>
    <phoneticPr fontId="1" type="noConversion"/>
  </si>
  <si>
    <t>对未处理的订单允许分字段修改，在订单详情上方加“修改”按钮。已处理的订单不允许分字段修改</t>
    <phoneticPr fontId="1" type="noConversion"/>
  </si>
  <si>
    <t>订单新建功能区的订单历史加入“修改”按钮</t>
    <phoneticPr fontId="1" type="noConversion"/>
  </si>
  <si>
    <t>修改功能仅分字段修改。</t>
    <phoneticPr fontId="1" type="noConversion"/>
  </si>
  <si>
    <t>工期</t>
    <phoneticPr fontId="1" type="noConversion"/>
  </si>
  <si>
    <t>新增</t>
    <phoneticPr fontId="1" type="noConversion"/>
  </si>
  <si>
    <t>重构</t>
    <phoneticPr fontId="1" type="noConversion"/>
  </si>
  <si>
    <t>总计</t>
    <phoneticPr fontId="1" type="noConversion"/>
  </si>
  <si>
    <t>重构/新增</t>
    <phoneticPr fontId="1" type="noConversion"/>
  </si>
  <si>
    <t>修改</t>
    <phoneticPr fontId="1" type="noConversion"/>
  </si>
  <si>
    <t>新增/重构</t>
    <phoneticPr fontId="1" type="noConversion"/>
  </si>
  <si>
    <t>在订单处理详情界面加入“计算器”功能</t>
    <phoneticPr fontId="1" type="noConversion"/>
  </si>
  <si>
    <t>支付状态</t>
    <phoneticPr fontId="1" type="noConversion"/>
  </si>
  <si>
    <t>完成状态</t>
    <phoneticPr fontId="1" type="noConversion"/>
  </si>
  <si>
    <t>已支付</t>
    <phoneticPr fontId="1" type="noConversion"/>
  </si>
  <si>
    <t>未支付</t>
    <phoneticPr fontId="1" type="noConversion"/>
  </si>
  <si>
    <t>未完成</t>
    <phoneticPr fontId="1" type="noConversion"/>
  </si>
  <si>
    <t>7日</t>
    <phoneticPr fontId="1" type="noConversion"/>
  </si>
  <si>
    <t>1日</t>
  </si>
  <si>
    <t>1日</t>
    <phoneticPr fontId="1" type="noConversion"/>
  </si>
  <si>
    <t>未支付金额</t>
    <phoneticPr fontId="1" type="noConversion"/>
  </si>
  <si>
    <t>所需金额（元）</t>
    <phoneticPr fontId="1" type="noConversion"/>
  </si>
  <si>
    <t>预计完成时间</t>
    <phoneticPr fontId="1" type="noConversion"/>
  </si>
  <si>
    <t>6月9日前</t>
    <phoneticPr fontId="1" type="noConversion"/>
  </si>
  <si>
    <t>6月3日前</t>
    <phoneticPr fontId="1" type="noConversion"/>
  </si>
  <si>
    <t>6月4日前</t>
    <phoneticPr fontId="1" type="noConversion"/>
  </si>
  <si>
    <t>预期价格</t>
    <phoneticPr fontId="1" type="noConversion"/>
  </si>
  <si>
    <t>实际支付</t>
    <phoneticPr fontId="1" type="noConversion"/>
  </si>
  <si>
    <t>新链接下属用户时，自动链接到所有App；解除申请功能/页面/架构设计</t>
    <phoneticPr fontId="1" type="noConversion"/>
  </si>
  <si>
    <t>差价</t>
    <phoneticPr fontId="1" type="noConversion"/>
  </si>
  <si>
    <t>随时</t>
    <phoneticPr fontId="1" type="noConversion"/>
  </si>
  <si>
    <t>已支付金额</t>
    <phoneticPr fontId="1" type="noConversion"/>
  </si>
  <si>
    <t>加入手动更新按钮</t>
    <phoneticPr fontId="1" type="noConversion"/>
  </si>
  <si>
    <t>已完成</t>
    <phoneticPr fontId="1" type="noConversion"/>
  </si>
  <si>
    <t>在聊天界面自己的气泡加时间</t>
    <phoneticPr fontId="1" type="noConversion"/>
  </si>
  <si>
    <t>实际完成时间</t>
    <phoneticPr fontId="1" type="noConversion"/>
  </si>
  <si>
    <t>撤回消息</t>
    <phoneticPr fontId="1" type="noConversion"/>
  </si>
  <si>
    <t>版本未更新时不允许访问</t>
    <phoneticPr fontId="1" type="noConversion"/>
  </si>
  <si>
    <t>订单处理的聊天按钮或员工端的联系管理员按钮上有新消息未读时显示红点</t>
    <phoneticPr fontId="1" type="noConversion"/>
  </si>
  <si>
    <t>6月5日前</t>
    <phoneticPr fontId="1" type="noConversion"/>
  </si>
  <si>
    <t>在左侧边栏加入需要已读类型的通知中心</t>
    <phoneticPr fontId="1" type="noConversion"/>
  </si>
  <si>
    <t>6月6日前</t>
    <phoneticPr fontId="1" type="noConversion"/>
  </si>
  <si>
    <t>需要显示红点、使用单独的页面进行呈现。显示各种状态更新以及聊天消息。每个通知点击进去都能跳转到对应的功能区并打开该模块。其次右上角把铃铛改成显示这种类型消息的，并且支持一件已读。其次现在原有的未完成任务铃铛图标改成其他的。已读一条消息就减少红点哦。</t>
    <phoneticPr fontId="1" type="noConversion"/>
  </si>
  <si>
    <t>模板支持上传图片</t>
    <phoneticPr fontId="1" type="noConversion"/>
  </si>
  <si>
    <t>加入一键下载图片功能，模板配置中支持图像上传表单</t>
    <phoneticPr fontId="1" type="noConversion"/>
  </si>
  <si>
    <t>订单处理详情聊天发送图片功能</t>
    <phoneticPr fontId="1" type="noConversion"/>
  </si>
  <si>
    <t>6月12日前</t>
    <phoneticPr fontId="1" type="noConversion"/>
  </si>
  <si>
    <t>员工订单历史界面支持筛选内部字段值</t>
    <phoneticPr fontId="1" type="noConversion"/>
  </si>
  <si>
    <t>修复订单修改后余额再次扣除的bug</t>
    <phoneticPr fontId="1" type="noConversion"/>
  </si>
  <si>
    <t>修复</t>
    <phoneticPr fontId="1" type="noConversion"/>
  </si>
  <si>
    <t>修复公告权限问题</t>
    <phoneticPr fontId="1" type="noConversion"/>
  </si>
  <si>
    <t>公告权限为不可查看时仍然可以在左侧边栏找到进入入口与查看</t>
    <phoneticPr fontId="1" type="noConversion"/>
  </si>
  <si>
    <t>强调弹窗</t>
    <phoneticPr fontId="1" type="noConversion"/>
  </si>
  <si>
    <t>在App模板配置中支持配置“强调弹窗”配置，该配置需要需要你选择你在当前模板配置中设置的字段进行多选来选择需要展示的字段与字段值，配置弹窗时，需要配置触发条件，设置触发字段，并且需要你填写字段匹配值，比如说你可以选择多个字段然后每个字段可以配置多个匹配值，当这些条件同时满足（包含）时，弹窗将会弹出。</t>
  </si>
  <si>
    <t>6月10日之前</t>
    <phoneticPr fontId="1" type="noConversion"/>
  </si>
  <si>
    <t>App模版编辑器支持上传多张图片， 支持多张一键导出</t>
    <phoneticPr fontId="1" type="noConversion"/>
  </si>
  <si>
    <t>工单处理部分的“查看/回复”按钮支持显示红点。</t>
    <phoneticPr fontId="1" type="noConversion"/>
  </si>
  <si>
    <t>看到就消失。</t>
    <phoneticPr fontId="1" type="noConversion"/>
  </si>
  <si>
    <t>账户组订单查看权限新增“下属订单”，“其他订单”</t>
    <phoneticPr fontId="1" type="noConversion"/>
  </si>
  <si>
    <t>账户组工单处理的查看权限新增“下属工单”，“其他工单”</t>
    <phoneticPr fontId="1" type="noConversion"/>
  </si>
  <si>
    <t>仪表盘默认显示所有下属创建的订单或工单数据或用户</t>
    <phoneticPr fontId="1" type="noConversion"/>
  </si>
  <si>
    <t>订单填写表单上传图片组件存在问题，单独给一个上传会导致给当前表单下所有的图片上传器共用文件，模板中出现多个图片上传器在上传时会出现该问题。</t>
    <phoneticPr fontId="1" type="noConversion"/>
  </si>
  <si>
    <t>上下属用户权限划分依旧不明确</t>
    <phoneticPr fontId="1" type="noConversion"/>
  </si>
  <si>
    <t>3日</t>
    <phoneticPr fontId="1" type="noConversion"/>
  </si>
  <si>
    <t>6月15日之前</t>
    <phoneticPr fontId="1" type="noConversion"/>
  </si>
  <si>
    <t>工单处理界面工单详情下方加入“已处理”，“驳回”，“待处理”</t>
    <phoneticPr fontId="1" type="noConversion"/>
  </si>
  <si>
    <t>左侧边栏新增“二次订单”功能区，显示非一次处理过的订单，比如说一个订单处理过了但是驳回了又重新处理，这种就放到二次处理订单中。原订单处理显示所有的一次订单。</t>
    <phoneticPr fontId="1" type="noConversion"/>
  </si>
  <si>
    <t>链接到下属用户后导致左侧边栏红点存在问题</t>
    <phoneticPr fontId="1" type="noConversion"/>
  </si>
  <si>
    <t>6月12日之前</t>
    <phoneticPr fontId="1" type="noConversion"/>
  </si>
  <si>
    <t>新增每日报告填写功能</t>
    <phoneticPr fontId="1" type="noConversion"/>
  </si>
  <si>
    <t>1.每日晚上0点弹出提示需要填写报告，自动弹出全局填写报告提示。2.拥有查看日报权限的用户可以查看所有用户的日报，拥有修改日报权限的用户，可以修改需要用户填写的哪些字段。字段在管理员那边用表格的每一列进行呈现，配置了多少就多少列的呈现。3. 支持一键导出excel   4. 可以对字体大小或者颜色进行修改</t>
    <phoneticPr fontId="1" type="noConversion"/>
  </si>
  <si>
    <t>隐藏工单功能</t>
    <phoneticPr fontId="1" type="noConversion"/>
  </si>
  <si>
    <t>6月13日之前</t>
    <phoneticPr fontId="1" type="noConversion"/>
  </si>
  <si>
    <t>引入版本号功能</t>
    <phoneticPr fontId="1" type="noConversion"/>
  </si>
  <si>
    <t>订单处理的订单详情中下方的按钮只保留图标，放在一行</t>
    <phoneticPr fontId="1" type="noConversion"/>
  </si>
  <si>
    <t>无需完成</t>
    <phoneticPr fontId="1" type="noConversion"/>
  </si>
  <si>
    <t>二次订单上方的App分类列表上的红点依然是全局的，上方的红点只显示二次订单或者一次订单专属的。</t>
    <phoneticPr fontId="1" type="noConversion"/>
  </si>
  <si>
    <t>移除</t>
    <phoneticPr fontId="1" type="noConversion"/>
  </si>
  <si>
    <t>聊天功能常用回复语</t>
    <phoneticPr fontId="1" type="noConversion"/>
  </si>
  <si>
    <t>驳回功能能配置退回的余额量</t>
    <phoneticPr fontId="1" type="noConversion"/>
  </si>
  <si>
    <t>权限配置中配置可以创建的用户用户组</t>
    <phoneticPr fontId="1" type="noConversion"/>
  </si>
  <si>
    <t>连续新建订单可能导致订单内容错误</t>
    <phoneticPr fontId="1" type="noConversion"/>
  </si>
  <si>
    <t>关闭订单处理权限后，仍然可以查看到订单处理的功能入口按钮</t>
    <phoneticPr fontId="1" type="noConversion"/>
  </si>
  <si>
    <t>修改二次订单判定功能</t>
    <phoneticPr fontId="1" type="noConversion"/>
  </si>
  <si>
    <t>/Users/micropue/Desktop/前后端项目/虎虎校园跑登记系统/6月23日-二次订单标记逻辑修改.md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</si>
</sst>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9"/>
      <name val="等线"/>
      <family val="2"/>
      <charset val="134"/>
      <scheme val="minor"/>
    </font>
    <font>
      <b/>
      <sz val="12"/>
      <name val="等线"/>
      <family val="4"/>
      <charset val="134"/>
      <scheme val="minor"/>
    </font>
    <font>
      <b/>
      <sz val="12"/>
      <color theme="1"/>
      <name val="等线"/>
      <family val="4"/>
      <charset val="134"/>
      <scheme val="minor"/>
    </font>
    <font>
      <b/>
      <strike/>
      <sz val="12"/>
      <color theme="1"/>
      <name val="等线"/>
      <family val="4"/>
      <charset val="134"/>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vertical="center" wrapText="1"/>
    </xf>
    <xf numFmtId="0" fontId="0" fillId="0" borderId="1" xfId="0" applyBorder="1">
      <alignment vertical="center"/>
    </xf>
    <xf numFmtId="0" fontId="0" fillId="0" borderId="1" xfId="0" applyBorder="1" applyAlignment="1">
      <alignment vertical="center" wrapText="1"/>
    </xf>
    <xf numFmtId="0" fontId="2" fillId="0" borderId="1" xfId="0" applyFont="1" applyBorder="1">
      <alignment vertical="center"/>
    </xf>
    <xf numFmtId="0" fontId="3" fillId="0" borderId="1" xfId="0" applyFont="1" applyBorder="1">
      <alignment vertical="center"/>
    </xf>
    <xf numFmtId="0" fontId="4" fillId="0" borderId="1" xfId="0" applyFont="1" applyBorder="1">
      <alignment vertical="center"/>
    </xf>
    <xf numFmtId="0" fontId="3" fillId="0" borderId="0" xfId="0" applyFont="1">
      <alignment vertical="center"/>
    </xf>
    <xf numFmtId="58" fontId="0" fillId="0" borderId="1" xfId="0" applyNumberFormat="1" applyBorder="1">
      <alignment vertical="center"/>
    </xf>
    <xf numFmtId="0" fontId="3" fillId="0" borderId="1" xfId="0" applyFont="1" applyBorder="1" applyAlignment="1">
      <alignment horizontal="right" vertical="center"/>
    </xf>
    <xf numFmtId="0" fontId="2" fillId="0" borderId="1" xfId="0" applyFont="1" applyBorder="1">
      <alignment vertical="center"/>
    </xf>
    <xf numFmtId="0" fontId="3" fillId="0" borderId="1" xfId="0" applyFont="1" applyBorder="1">
      <alignment vertical="center"/>
    </xf>
    <xf numFmtId="0" fontId="3" fillId="0" borderId="2" xfId="0" applyFont="1" applyBorder="1">
      <alignment vertical="center"/>
    </xf>
    <xf numFmtId="0" fontId="0" fillId="0" borderId="2" xfId="0" applyBorder="1">
      <alignment vertical="center"/>
    </xf>
  </cellXfs>
  <cellStyles count="1">
    <cellStyle name="常规" xfId="0" builtinId="0"/>
  </cellStyles>
  <dxfs count="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00B050"/>
      </font>
    </dxf>
    <dxf>
      <font>
        <b/>
        <i val="0"/>
        <color rgb="FFC00000"/>
      </font>
    </dxf>
    <dxf>
      <font>
        <b/>
        <i val="0"/>
        <color rgb="FF00B050"/>
      </font>
    </dxf>
    <dxf>
      <font>
        <b/>
        <i val="0"/>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6A56-1155-254D-8306-53828F17833A}">
  <sheetPr filterMode="1">
    <pageSetUpPr fitToPage="1"/>
  </sheetPr>
  <dimension ref="A1:L46"/>
  <sheetViews>
    <sheetView tabSelected="1" zoomScale="115" workbookViewId="0">
      <selection activeCell="I43" sqref="I43"/>
    </sheetView>
  </sheetViews>
  <sheetFormatPr baseColWidth="10" defaultRowHeight="16"/>
  <cols>
    <col min="2" max="2" width="29.83203125" style="1" customWidth="1"/>
    <col min="3" max="3" width="29" style="1" customWidth="1"/>
    <col min="4" max="5" width="15.5" customWidth="1"/>
    <col min="8" max="8" width="13" customWidth="1"/>
    <col min="11" max="11" width="12.5" customWidth="1"/>
    <col min="12" max="12" width="14.1640625" bestFit="1" customWidth="1"/>
  </cols>
  <sheetData>
    <row r="1" spans="1:12">
      <c r="A1" s="5" t="s">
        <v>0</v>
      </c>
      <c r="B1" s="5" t="s">
        <v>1</v>
      </c>
      <c r="C1" s="5" t="s">
        <v>2</v>
      </c>
      <c r="D1" s="5" t="s">
        <v>3</v>
      </c>
      <c r="E1" s="4" t="s">
        <v>39</v>
      </c>
      <c r="F1" s="5" t="s">
        <v>40</v>
      </c>
      <c r="G1" s="5" t="s">
        <v>42</v>
      </c>
      <c r="H1" s="5" t="s">
        <v>17</v>
      </c>
      <c r="I1" s="5" t="s">
        <v>25</v>
      </c>
      <c r="J1" s="5" t="s">
        <v>26</v>
      </c>
      <c r="K1" s="5" t="s">
        <v>35</v>
      </c>
      <c r="L1" s="5" t="s">
        <v>48</v>
      </c>
    </row>
    <row r="2" spans="1:12" ht="34">
      <c r="A2" s="2">
        <v>1</v>
      </c>
      <c r="B2" s="3" t="s">
        <v>4</v>
      </c>
      <c r="C2" s="3" t="s">
        <v>7</v>
      </c>
      <c r="D2" s="2" t="s">
        <v>19</v>
      </c>
      <c r="E2" s="2">
        <v>43.2</v>
      </c>
      <c r="F2" s="2">
        <v>15</v>
      </c>
      <c r="G2" s="2">
        <f>F2-E2</f>
        <v>-28.200000000000003</v>
      </c>
      <c r="H2" s="2" t="s">
        <v>30</v>
      </c>
      <c r="I2" s="2" t="s">
        <v>27</v>
      </c>
      <c r="J2" s="2" t="s">
        <v>46</v>
      </c>
      <c r="K2" s="2" t="s">
        <v>36</v>
      </c>
      <c r="L2" s="8">
        <v>46176</v>
      </c>
    </row>
    <row r="3" spans="1:12" ht="34">
      <c r="A3" s="2">
        <v>2</v>
      </c>
      <c r="B3" s="3" t="s">
        <v>5</v>
      </c>
      <c r="C3" s="3"/>
      <c r="D3" s="2" t="s">
        <v>18</v>
      </c>
      <c r="E3" s="2">
        <v>60</v>
      </c>
      <c r="F3" s="2">
        <v>52</v>
      </c>
      <c r="G3" s="2">
        <f t="shared" ref="G3:G45" si="0">F3-E3</f>
        <v>-8</v>
      </c>
      <c r="H3" s="2" t="s">
        <v>32</v>
      </c>
      <c r="I3" s="2" t="s">
        <v>27</v>
      </c>
      <c r="J3" s="2" t="s">
        <v>46</v>
      </c>
      <c r="K3" s="2" t="s">
        <v>37</v>
      </c>
      <c r="L3" s="8">
        <v>46176</v>
      </c>
    </row>
    <row r="4" spans="1:12" ht="34">
      <c r="A4" s="2">
        <v>3</v>
      </c>
      <c r="B4" s="3" t="s">
        <v>9</v>
      </c>
      <c r="C4" s="3"/>
      <c r="D4" s="2" t="s">
        <v>18</v>
      </c>
      <c r="E4" s="2">
        <v>0</v>
      </c>
      <c r="F4" s="2">
        <v>0</v>
      </c>
      <c r="G4" s="2">
        <f t="shared" si="0"/>
        <v>0</v>
      </c>
      <c r="H4" s="2" t="s">
        <v>32</v>
      </c>
      <c r="I4" s="2" t="s">
        <v>27</v>
      </c>
      <c r="J4" s="2" t="s">
        <v>46</v>
      </c>
      <c r="K4" s="2" t="s">
        <v>43</v>
      </c>
      <c r="L4" s="8">
        <v>46177</v>
      </c>
    </row>
    <row r="5" spans="1:12" ht="17">
      <c r="A5" s="2">
        <v>4</v>
      </c>
      <c r="B5" s="3" t="s">
        <v>6</v>
      </c>
      <c r="C5" s="3" t="s">
        <v>8</v>
      </c>
      <c r="D5" s="2" t="s">
        <v>18</v>
      </c>
      <c r="E5" s="2">
        <v>80</v>
      </c>
      <c r="F5" s="2">
        <v>62</v>
      </c>
      <c r="G5" s="2">
        <f t="shared" si="0"/>
        <v>-18</v>
      </c>
      <c r="H5" s="2" t="s">
        <v>32</v>
      </c>
      <c r="I5" s="2" t="s">
        <v>27</v>
      </c>
      <c r="J5" s="2" t="s">
        <v>46</v>
      </c>
      <c r="K5" s="2" t="s">
        <v>38</v>
      </c>
      <c r="L5" s="8">
        <v>46177</v>
      </c>
    </row>
    <row r="6" spans="1:12" ht="51" hidden="1">
      <c r="A6" s="2">
        <v>5</v>
      </c>
      <c r="B6" s="3" t="s">
        <v>10</v>
      </c>
      <c r="C6" s="3" t="s">
        <v>41</v>
      </c>
      <c r="D6" s="2" t="s">
        <v>21</v>
      </c>
      <c r="E6" s="2">
        <v>70</v>
      </c>
      <c r="F6" s="2">
        <v>70</v>
      </c>
      <c r="G6" s="2">
        <f t="shared" si="0"/>
        <v>0</v>
      </c>
      <c r="H6" s="2" t="s">
        <v>32</v>
      </c>
      <c r="I6" s="2" t="s">
        <v>28</v>
      </c>
      <c r="J6" s="2" t="s">
        <v>29</v>
      </c>
      <c r="K6" s="2"/>
      <c r="L6" s="2"/>
    </row>
    <row r="7" spans="1:12" ht="34">
      <c r="A7" s="2">
        <v>6</v>
      </c>
      <c r="B7" s="3" t="s">
        <v>11</v>
      </c>
      <c r="C7" s="3"/>
      <c r="D7" s="2" t="s">
        <v>22</v>
      </c>
      <c r="E7" s="2">
        <v>0</v>
      </c>
      <c r="F7" s="2">
        <v>0</v>
      </c>
      <c r="G7" s="2">
        <f t="shared" si="0"/>
        <v>0</v>
      </c>
      <c r="H7" s="2" t="s">
        <v>32</v>
      </c>
      <c r="I7" s="2" t="s">
        <v>27</v>
      </c>
      <c r="J7" s="2" t="s">
        <v>46</v>
      </c>
      <c r="K7" s="2" t="s">
        <v>43</v>
      </c>
      <c r="L7" s="8">
        <v>46177</v>
      </c>
    </row>
    <row r="8" spans="1:12" ht="34">
      <c r="A8" s="2">
        <v>7</v>
      </c>
      <c r="B8" s="3" t="s">
        <v>12</v>
      </c>
      <c r="C8" s="3"/>
      <c r="D8" s="2" t="s">
        <v>22</v>
      </c>
      <c r="E8" s="2">
        <v>0</v>
      </c>
      <c r="F8" s="2">
        <v>0</v>
      </c>
      <c r="G8" s="2">
        <f t="shared" si="0"/>
        <v>0</v>
      </c>
      <c r="H8" s="2" t="s">
        <v>31</v>
      </c>
      <c r="I8" s="2" t="s">
        <v>27</v>
      </c>
      <c r="J8" s="2" t="s">
        <v>46</v>
      </c>
      <c r="K8" s="2" t="s">
        <v>43</v>
      </c>
      <c r="L8" s="8">
        <v>46177</v>
      </c>
    </row>
    <row r="9" spans="1:12" ht="17" hidden="1">
      <c r="A9" s="2">
        <v>8</v>
      </c>
      <c r="B9" s="3" t="s">
        <v>58</v>
      </c>
      <c r="C9" s="3"/>
      <c r="D9" s="2" t="s">
        <v>23</v>
      </c>
      <c r="E9" s="2">
        <v>180</v>
      </c>
      <c r="F9" s="2">
        <v>180</v>
      </c>
      <c r="G9" s="2">
        <f t="shared" si="0"/>
        <v>0</v>
      </c>
      <c r="H9" s="2" t="s">
        <v>31</v>
      </c>
      <c r="I9" s="2" t="s">
        <v>28</v>
      </c>
      <c r="J9" s="2" t="s">
        <v>29</v>
      </c>
      <c r="K9" s="2"/>
      <c r="L9" s="2"/>
    </row>
    <row r="10" spans="1:12" ht="68">
      <c r="A10" s="2">
        <v>9</v>
      </c>
      <c r="B10" s="3" t="s">
        <v>13</v>
      </c>
      <c r="C10" s="3" t="s">
        <v>14</v>
      </c>
      <c r="D10" s="2" t="s">
        <v>18</v>
      </c>
      <c r="E10" s="2">
        <v>50</v>
      </c>
      <c r="F10" s="2">
        <v>39</v>
      </c>
      <c r="G10" s="2">
        <f t="shared" si="0"/>
        <v>-11</v>
      </c>
      <c r="H10" s="2" t="s">
        <v>32</v>
      </c>
      <c r="I10" s="2" t="s">
        <v>27</v>
      </c>
      <c r="J10" s="2" t="s">
        <v>46</v>
      </c>
      <c r="K10" s="2" t="s">
        <v>38</v>
      </c>
      <c r="L10" s="8">
        <v>46177</v>
      </c>
    </row>
    <row r="11" spans="1:12" ht="34">
      <c r="A11" s="2">
        <v>10</v>
      </c>
      <c r="B11" s="3" t="s">
        <v>15</v>
      </c>
      <c r="C11" s="3" t="s">
        <v>16</v>
      </c>
      <c r="D11" s="2" t="s">
        <v>18</v>
      </c>
      <c r="E11" s="2">
        <v>50</v>
      </c>
      <c r="F11" s="2">
        <v>39</v>
      </c>
      <c r="G11" s="2">
        <f t="shared" si="0"/>
        <v>-11</v>
      </c>
      <c r="H11" s="2" t="s">
        <v>31</v>
      </c>
      <c r="I11" s="2" t="s">
        <v>27</v>
      </c>
      <c r="J11" s="2" t="s">
        <v>46</v>
      </c>
      <c r="K11" s="2" t="s">
        <v>38</v>
      </c>
      <c r="L11" s="8">
        <v>46177</v>
      </c>
    </row>
    <row r="12" spans="1:12" ht="34" hidden="1">
      <c r="A12" s="2">
        <v>11</v>
      </c>
      <c r="B12" s="3" t="s">
        <v>24</v>
      </c>
      <c r="C12" s="3"/>
      <c r="D12" s="2" t="s">
        <v>18</v>
      </c>
      <c r="E12" s="2">
        <v>100</v>
      </c>
      <c r="F12" s="2">
        <v>100</v>
      </c>
      <c r="G12" s="2">
        <f t="shared" si="0"/>
        <v>0</v>
      </c>
      <c r="H12" s="2" t="s">
        <v>32</v>
      </c>
      <c r="I12" s="2" t="s">
        <v>28</v>
      </c>
      <c r="J12" s="2" t="s">
        <v>29</v>
      </c>
      <c r="K12" s="2"/>
      <c r="L12" s="2"/>
    </row>
    <row r="13" spans="1:12" ht="17">
      <c r="A13" s="2">
        <v>12</v>
      </c>
      <c r="B13" s="3" t="s">
        <v>45</v>
      </c>
      <c r="C13" s="3"/>
      <c r="D13" s="2" t="s">
        <v>18</v>
      </c>
      <c r="E13" s="2">
        <v>0</v>
      </c>
      <c r="F13" s="2">
        <v>0</v>
      </c>
      <c r="G13" s="2">
        <f t="shared" si="0"/>
        <v>0</v>
      </c>
      <c r="H13" s="2" t="s">
        <v>32</v>
      </c>
      <c r="I13" s="2" t="s">
        <v>27</v>
      </c>
      <c r="J13" s="2" t="s">
        <v>46</v>
      </c>
      <c r="K13" s="2" t="s">
        <v>43</v>
      </c>
      <c r="L13" s="8">
        <v>46176</v>
      </c>
    </row>
    <row r="14" spans="1:12" ht="17">
      <c r="A14" s="2">
        <v>13</v>
      </c>
      <c r="B14" s="3" t="s">
        <v>47</v>
      </c>
      <c r="C14" s="3"/>
      <c r="D14" s="2" t="s">
        <v>18</v>
      </c>
      <c r="E14" s="2">
        <v>0</v>
      </c>
      <c r="F14" s="2">
        <v>0</v>
      </c>
      <c r="G14" s="2">
        <f t="shared" si="0"/>
        <v>0</v>
      </c>
      <c r="H14" s="2" t="s">
        <v>32</v>
      </c>
      <c r="I14" s="2" t="s">
        <v>27</v>
      </c>
      <c r="J14" s="2" t="s">
        <v>46</v>
      </c>
      <c r="K14" s="2" t="s">
        <v>43</v>
      </c>
      <c r="L14" s="8">
        <v>46177</v>
      </c>
    </row>
    <row r="15" spans="1:12" ht="17">
      <c r="A15" s="2">
        <v>14</v>
      </c>
      <c r="B15" s="3" t="s">
        <v>49</v>
      </c>
      <c r="C15" s="3"/>
      <c r="D15" s="2" t="s">
        <v>18</v>
      </c>
      <c r="E15" s="2">
        <v>30</v>
      </c>
      <c r="F15" s="2">
        <v>30</v>
      </c>
      <c r="G15" s="2">
        <f t="shared" si="0"/>
        <v>0</v>
      </c>
      <c r="H15" s="2" t="s">
        <v>32</v>
      </c>
      <c r="I15" s="2" t="s">
        <v>27</v>
      </c>
      <c r="J15" s="2" t="s">
        <v>46</v>
      </c>
      <c r="K15" s="2" t="s">
        <v>38</v>
      </c>
      <c r="L15" s="2"/>
    </row>
    <row r="16" spans="1:12" ht="17">
      <c r="A16" s="2">
        <v>15</v>
      </c>
      <c r="B16" s="3" t="s">
        <v>50</v>
      </c>
      <c r="C16" s="3"/>
      <c r="D16" s="2" t="s">
        <v>18</v>
      </c>
      <c r="E16" s="2">
        <v>0</v>
      </c>
      <c r="F16" s="2">
        <v>0</v>
      </c>
      <c r="G16" s="2">
        <f t="shared" si="0"/>
        <v>0</v>
      </c>
      <c r="H16" s="2" t="s">
        <v>32</v>
      </c>
      <c r="I16" s="2" t="s">
        <v>27</v>
      </c>
      <c r="J16" s="2" t="s">
        <v>46</v>
      </c>
      <c r="K16" s="2" t="s">
        <v>43</v>
      </c>
      <c r="L16" s="8">
        <v>46177</v>
      </c>
    </row>
    <row r="17" spans="1:12" ht="51">
      <c r="A17" s="2">
        <v>16</v>
      </c>
      <c r="B17" s="3" t="s">
        <v>51</v>
      </c>
      <c r="C17" s="3"/>
      <c r="D17" s="2" t="s">
        <v>22</v>
      </c>
      <c r="E17" s="2">
        <v>0</v>
      </c>
      <c r="F17" s="2">
        <v>0</v>
      </c>
      <c r="G17" s="2">
        <f t="shared" si="0"/>
        <v>0</v>
      </c>
      <c r="H17" s="2" t="s">
        <v>32</v>
      </c>
      <c r="I17" s="2" t="s">
        <v>27</v>
      </c>
      <c r="J17" s="2" t="s">
        <v>46</v>
      </c>
      <c r="K17" s="2" t="s">
        <v>52</v>
      </c>
      <c r="L17" s="8">
        <v>46178</v>
      </c>
    </row>
    <row r="18" spans="1:12" ht="153">
      <c r="A18" s="2">
        <v>17</v>
      </c>
      <c r="B18" s="3" t="s">
        <v>53</v>
      </c>
      <c r="C18" s="3" t="s">
        <v>55</v>
      </c>
      <c r="D18" s="2" t="s">
        <v>19</v>
      </c>
      <c r="E18" s="2">
        <v>60</v>
      </c>
      <c r="F18" s="2">
        <v>50</v>
      </c>
      <c r="G18" s="2">
        <f t="shared" si="0"/>
        <v>-10</v>
      </c>
      <c r="H18" s="2" t="s">
        <v>32</v>
      </c>
      <c r="I18" s="2" t="s">
        <v>27</v>
      </c>
      <c r="J18" s="2" t="s">
        <v>46</v>
      </c>
      <c r="K18" s="2" t="s">
        <v>54</v>
      </c>
      <c r="L18" s="8">
        <v>46178</v>
      </c>
    </row>
    <row r="19" spans="1:12" ht="34">
      <c r="A19" s="2">
        <v>18</v>
      </c>
      <c r="B19" s="3" t="s">
        <v>56</v>
      </c>
      <c r="C19" s="3" t="s">
        <v>57</v>
      </c>
      <c r="D19" s="2" t="s">
        <v>18</v>
      </c>
      <c r="E19" s="2">
        <v>170</v>
      </c>
      <c r="F19" s="2">
        <v>130</v>
      </c>
      <c r="G19" s="2">
        <f t="shared" si="0"/>
        <v>-40</v>
      </c>
      <c r="H19" s="2" t="s">
        <v>32</v>
      </c>
      <c r="I19" s="2" t="s">
        <v>27</v>
      </c>
      <c r="J19" s="2" t="s">
        <v>46</v>
      </c>
      <c r="K19" s="2" t="s">
        <v>59</v>
      </c>
      <c r="L19" s="8"/>
    </row>
    <row r="20" spans="1:12" ht="34">
      <c r="A20" s="2">
        <v>19</v>
      </c>
      <c r="B20" s="3" t="s">
        <v>60</v>
      </c>
      <c r="C20" s="3"/>
      <c r="D20" s="2" t="s">
        <v>18</v>
      </c>
      <c r="E20" s="2">
        <v>0</v>
      </c>
      <c r="F20" s="2">
        <v>0</v>
      </c>
      <c r="G20" s="2">
        <f t="shared" si="0"/>
        <v>0</v>
      </c>
      <c r="H20" s="2" t="s">
        <v>32</v>
      </c>
      <c r="I20" s="2" t="s">
        <v>27</v>
      </c>
      <c r="J20" s="2" t="s">
        <v>46</v>
      </c>
      <c r="K20" s="2" t="s">
        <v>43</v>
      </c>
      <c r="L20" s="8">
        <v>46181</v>
      </c>
    </row>
    <row r="21" spans="1:12" ht="34">
      <c r="A21" s="2">
        <v>20</v>
      </c>
      <c r="B21" s="3" t="s">
        <v>61</v>
      </c>
      <c r="C21" s="3"/>
      <c r="D21" s="2" t="s">
        <v>62</v>
      </c>
      <c r="E21" s="2">
        <v>0</v>
      </c>
      <c r="F21" s="2">
        <v>0</v>
      </c>
      <c r="G21" s="2">
        <f t="shared" si="0"/>
        <v>0</v>
      </c>
      <c r="H21" s="2" t="s">
        <v>32</v>
      </c>
      <c r="I21" s="2" t="s">
        <v>27</v>
      </c>
      <c r="J21" s="2" t="s">
        <v>46</v>
      </c>
      <c r="K21" s="2" t="s">
        <v>43</v>
      </c>
      <c r="L21" s="8">
        <v>46182</v>
      </c>
    </row>
    <row r="22" spans="1:12" ht="74" customHeight="1">
      <c r="A22" s="2">
        <v>21</v>
      </c>
      <c r="B22" s="3" t="s">
        <v>63</v>
      </c>
      <c r="C22" s="3" t="s">
        <v>64</v>
      </c>
      <c r="D22" s="2" t="s">
        <v>62</v>
      </c>
      <c r="E22" s="2">
        <v>0</v>
      </c>
      <c r="F22" s="2">
        <v>0</v>
      </c>
      <c r="G22" s="2">
        <f t="shared" si="0"/>
        <v>0</v>
      </c>
      <c r="H22" s="2" t="s">
        <v>32</v>
      </c>
      <c r="I22" s="2" t="s">
        <v>27</v>
      </c>
      <c r="J22" s="2" t="s">
        <v>46</v>
      </c>
      <c r="K22" s="2" t="s">
        <v>43</v>
      </c>
      <c r="L22" s="8">
        <v>46182</v>
      </c>
    </row>
    <row r="23" spans="1:12" ht="212" customHeight="1">
      <c r="A23" s="2">
        <v>22</v>
      </c>
      <c r="B23" s="3" t="s">
        <v>65</v>
      </c>
      <c r="C23" s="3" t="s">
        <v>66</v>
      </c>
      <c r="D23" s="2" t="s">
        <v>18</v>
      </c>
      <c r="E23" s="2">
        <v>90</v>
      </c>
      <c r="F23" s="2">
        <f>90*0.63</f>
        <v>56.7</v>
      </c>
      <c r="G23" s="2">
        <f t="shared" si="0"/>
        <v>-33.299999999999997</v>
      </c>
      <c r="H23" s="2" t="s">
        <v>32</v>
      </c>
      <c r="I23" s="2" t="s">
        <v>27</v>
      </c>
      <c r="J23" s="2" t="s">
        <v>46</v>
      </c>
      <c r="K23" s="2" t="s">
        <v>67</v>
      </c>
      <c r="L23" s="8">
        <v>46183</v>
      </c>
    </row>
    <row r="24" spans="1:12" ht="51" customHeight="1">
      <c r="A24" s="2">
        <v>23</v>
      </c>
      <c r="B24" s="3" t="s">
        <v>68</v>
      </c>
      <c r="C24" s="3"/>
      <c r="D24" s="2" t="s">
        <v>18</v>
      </c>
      <c r="E24" s="2">
        <v>30</v>
      </c>
      <c r="F24" s="2">
        <f>30*0.63</f>
        <v>18.899999999999999</v>
      </c>
      <c r="G24" s="2">
        <f t="shared" si="0"/>
        <v>-11.100000000000001</v>
      </c>
      <c r="H24" s="2" t="s">
        <v>32</v>
      </c>
      <c r="I24" s="2" t="s">
        <v>27</v>
      </c>
      <c r="J24" s="2" t="s">
        <v>46</v>
      </c>
      <c r="K24" s="2" t="s">
        <v>67</v>
      </c>
      <c r="L24" s="8">
        <v>46182</v>
      </c>
    </row>
    <row r="25" spans="1:12" ht="51" customHeight="1">
      <c r="A25" s="2">
        <v>24</v>
      </c>
      <c r="B25" s="3" t="s">
        <v>69</v>
      </c>
      <c r="C25" s="3" t="s">
        <v>70</v>
      </c>
      <c r="D25" s="2" t="s">
        <v>18</v>
      </c>
      <c r="E25" s="2">
        <v>0</v>
      </c>
      <c r="F25" s="2">
        <v>0</v>
      </c>
      <c r="G25" s="2">
        <f t="shared" si="0"/>
        <v>0</v>
      </c>
      <c r="H25" s="2" t="s">
        <v>32</v>
      </c>
      <c r="I25" s="2" t="s">
        <v>27</v>
      </c>
      <c r="J25" s="2" t="s">
        <v>46</v>
      </c>
      <c r="K25" s="2" t="s">
        <v>43</v>
      </c>
      <c r="L25" s="8">
        <v>46183</v>
      </c>
    </row>
    <row r="26" spans="1:12" ht="51" customHeight="1">
      <c r="A26" s="2">
        <v>25</v>
      </c>
      <c r="B26" s="3" t="s">
        <v>71</v>
      </c>
      <c r="C26" s="3"/>
      <c r="D26" s="2" t="s">
        <v>18</v>
      </c>
      <c r="E26" s="2">
        <v>30</v>
      </c>
      <c r="F26" s="2">
        <f>30*0.63</f>
        <v>18.899999999999999</v>
      </c>
      <c r="G26" s="2">
        <f t="shared" si="0"/>
        <v>-11.100000000000001</v>
      </c>
      <c r="H26" s="2" t="s">
        <v>32</v>
      </c>
      <c r="I26" s="2" t="s">
        <v>27</v>
      </c>
      <c r="J26" s="2" t="s">
        <v>46</v>
      </c>
      <c r="K26" s="2" t="s">
        <v>67</v>
      </c>
      <c r="L26" s="8"/>
    </row>
    <row r="27" spans="1:12" ht="51" customHeight="1">
      <c r="A27" s="2">
        <v>26</v>
      </c>
      <c r="B27" s="3" t="s">
        <v>72</v>
      </c>
      <c r="C27" s="3"/>
      <c r="D27" s="2" t="s">
        <v>18</v>
      </c>
      <c r="E27" s="2">
        <v>30</v>
      </c>
      <c r="F27" s="2">
        <f>30*0.63</f>
        <v>18.899999999999999</v>
      </c>
      <c r="G27" s="2">
        <f>F27-E27</f>
        <v>-11.100000000000001</v>
      </c>
      <c r="H27" s="2" t="s">
        <v>32</v>
      </c>
      <c r="I27" s="2" t="s">
        <v>27</v>
      </c>
      <c r="J27" s="2" t="s">
        <v>46</v>
      </c>
      <c r="K27" s="2" t="s">
        <v>67</v>
      </c>
      <c r="L27" s="8"/>
    </row>
    <row r="28" spans="1:12" ht="51" customHeight="1">
      <c r="A28" s="2">
        <v>27</v>
      </c>
      <c r="B28" s="3" t="s">
        <v>73</v>
      </c>
      <c r="C28" s="3"/>
      <c r="D28" s="2" t="s">
        <v>18</v>
      </c>
      <c r="E28" s="2">
        <v>18</v>
      </c>
      <c r="F28" s="2">
        <v>12.34</v>
      </c>
      <c r="G28" s="2">
        <f t="shared" ref="G28:G43" si="1">F28-E28</f>
        <v>-5.66</v>
      </c>
      <c r="H28" s="2" t="s">
        <v>32</v>
      </c>
      <c r="I28" s="2" t="s">
        <v>27</v>
      </c>
      <c r="J28" s="2" t="s">
        <v>46</v>
      </c>
      <c r="K28" s="2" t="s">
        <v>67</v>
      </c>
      <c r="L28" s="8">
        <v>46183</v>
      </c>
    </row>
    <row r="29" spans="1:12" ht="85">
      <c r="A29" s="2">
        <v>28</v>
      </c>
      <c r="B29" s="3" t="s">
        <v>74</v>
      </c>
      <c r="C29" s="3"/>
      <c r="D29" s="2" t="s">
        <v>62</v>
      </c>
      <c r="E29" s="2">
        <v>0</v>
      </c>
      <c r="F29" s="2">
        <v>0</v>
      </c>
      <c r="G29" s="2">
        <f t="shared" si="1"/>
        <v>0</v>
      </c>
      <c r="H29" s="2" t="s">
        <v>32</v>
      </c>
      <c r="I29" s="2" t="s">
        <v>27</v>
      </c>
      <c r="J29" s="2" t="s">
        <v>46</v>
      </c>
      <c r="K29" s="2" t="s">
        <v>67</v>
      </c>
      <c r="L29" s="8">
        <v>46183</v>
      </c>
    </row>
    <row r="30" spans="1:12" ht="34">
      <c r="A30" s="2">
        <v>29</v>
      </c>
      <c r="B30" s="3" t="s">
        <v>75</v>
      </c>
      <c r="C30" s="3" t="s">
        <v>93</v>
      </c>
      <c r="D30" s="2" t="s">
        <v>62</v>
      </c>
      <c r="E30" s="2">
        <v>30</v>
      </c>
      <c r="F30" s="2">
        <v>52</v>
      </c>
      <c r="G30" s="2">
        <f t="shared" si="1"/>
        <v>22</v>
      </c>
      <c r="H30" s="2" t="s">
        <v>76</v>
      </c>
      <c r="I30" s="2" t="s">
        <v>27</v>
      </c>
      <c r="J30" s="2" t="s">
        <v>46</v>
      </c>
      <c r="K30" s="2" t="s">
        <v>77</v>
      </c>
      <c r="L30" s="8"/>
    </row>
    <row r="31" spans="1:12" ht="34">
      <c r="A31" s="2">
        <v>30</v>
      </c>
      <c r="B31" s="3" t="s">
        <v>78</v>
      </c>
      <c r="C31" s="3"/>
      <c r="D31" s="2" t="s">
        <v>18</v>
      </c>
      <c r="E31" s="2">
        <v>0</v>
      </c>
      <c r="F31" s="2">
        <v>0</v>
      </c>
      <c r="G31" s="2">
        <f t="shared" si="1"/>
        <v>0</v>
      </c>
      <c r="H31" s="2" t="s">
        <v>32</v>
      </c>
      <c r="I31" s="2" t="s">
        <v>27</v>
      </c>
      <c r="J31" s="2" t="s">
        <v>88</v>
      </c>
      <c r="K31" s="2" t="s">
        <v>59</v>
      </c>
      <c r="L31" s="8"/>
    </row>
    <row r="32" spans="1:12" ht="102">
      <c r="A32" s="2">
        <v>31</v>
      </c>
      <c r="B32" s="3" t="s">
        <v>79</v>
      </c>
      <c r="C32" s="3"/>
      <c r="D32" s="2" t="s">
        <v>18</v>
      </c>
      <c r="E32" s="2">
        <v>60</v>
      </c>
      <c r="F32" s="2">
        <v>40</v>
      </c>
      <c r="G32" s="2">
        <f t="shared" si="1"/>
        <v>-20</v>
      </c>
      <c r="H32" s="2" t="s">
        <v>32</v>
      </c>
      <c r="I32" s="2" t="s">
        <v>27</v>
      </c>
      <c r="J32" s="2" t="s">
        <v>46</v>
      </c>
      <c r="K32" s="2" t="s">
        <v>59</v>
      </c>
      <c r="L32" s="8"/>
    </row>
    <row r="33" spans="1:12" ht="34">
      <c r="A33" s="2">
        <v>32</v>
      </c>
      <c r="B33" s="3" t="s">
        <v>80</v>
      </c>
      <c r="C33" s="3"/>
      <c r="D33" s="2" t="s">
        <v>62</v>
      </c>
      <c r="E33" s="2">
        <v>0</v>
      </c>
      <c r="F33" s="2">
        <v>0</v>
      </c>
      <c r="G33" s="2">
        <f t="shared" si="1"/>
        <v>0</v>
      </c>
      <c r="H33" s="2" t="s">
        <v>32</v>
      </c>
      <c r="I33" s="2" t="s">
        <v>27</v>
      </c>
      <c r="J33" s="2" t="s">
        <v>46</v>
      </c>
      <c r="K33" s="2" t="s">
        <v>81</v>
      </c>
      <c r="L33" s="8"/>
    </row>
    <row r="34" spans="1:12" ht="187">
      <c r="A34" s="2">
        <v>33</v>
      </c>
      <c r="B34" s="3" t="s">
        <v>82</v>
      </c>
      <c r="C34" s="3" t="s">
        <v>83</v>
      </c>
      <c r="D34" s="2" t="s">
        <v>18</v>
      </c>
      <c r="E34" s="2">
        <v>40</v>
      </c>
      <c r="F34" s="2">
        <v>40</v>
      </c>
      <c r="G34" s="2">
        <f t="shared" si="1"/>
        <v>0</v>
      </c>
      <c r="H34" s="2" t="s">
        <v>32</v>
      </c>
      <c r="I34" s="2" t="s">
        <v>27</v>
      </c>
      <c r="J34" s="2" t="s">
        <v>46</v>
      </c>
      <c r="K34" s="2" t="s">
        <v>85</v>
      </c>
      <c r="L34" s="8"/>
    </row>
    <row r="35" spans="1:12" ht="17">
      <c r="A35" s="2">
        <v>34</v>
      </c>
      <c r="B35" s="3" t="s">
        <v>84</v>
      </c>
      <c r="C35" s="3"/>
      <c r="D35" s="2" t="s">
        <v>22</v>
      </c>
      <c r="E35" s="2">
        <v>0</v>
      </c>
      <c r="F35" s="2">
        <v>0</v>
      </c>
      <c r="G35" s="2">
        <f t="shared" si="1"/>
        <v>0</v>
      </c>
      <c r="H35" s="2" t="s">
        <v>32</v>
      </c>
      <c r="I35" s="2" t="s">
        <v>27</v>
      </c>
      <c r="J35" s="2" t="s">
        <v>46</v>
      </c>
      <c r="K35" s="2" t="s">
        <v>43</v>
      </c>
      <c r="L35" s="8"/>
    </row>
    <row r="36" spans="1:12" ht="17">
      <c r="A36" s="2">
        <v>35</v>
      </c>
      <c r="B36" s="3" t="s">
        <v>86</v>
      </c>
      <c r="C36" s="3"/>
      <c r="D36" s="2" t="s">
        <v>22</v>
      </c>
      <c r="E36" s="2">
        <v>0</v>
      </c>
      <c r="F36" s="2">
        <v>0</v>
      </c>
      <c r="G36" s="2">
        <f t="shared" si="1"/>
        <v>0</v>
      </c>
      <c r="H36" s="2" t="s">
        <v>32</v>
      </c>
      <c r="I36" s="2" t="s">
        <v>27</v>
      </c>
      <c r="J36" s="2" t="s">
        <v>46</v>
      </c>
      <c r="K36" s="2" t="s">
        <v>43</v>
      </c>
      <c r="L36" s="8"/>
    </row>
    <row r="37" spans="1:12" ht="34">
      <c r="A37" s="2">
        <v>36</v>
      </c>
      <c r="B37" s="3" t="s">
        <v>87</v>
      </c>
      <c r="C37" s="3"/>
      <c r="D37" s="2" t="s">
        <v>22</v>
      </c>
      <c r="E37" s="2">
        <v>0</v>
      </c>
      <c r="F37" s="2">
        <v>0</v>
      </c>
      <c r="G37" s="2">
        <f t="shared" si="1"/>
        <v>0</v>
      </c>
      <c r="H37" s="2" t="s">
        <v>32</v>
      </c>
      <c r="I37" s="2" t="s">
        <v>27</v>
      </c>
      <c r="J37" s="2" t="s">
        <v>46</v>
      </c>
      <c r="K37" s="2" t="s">
        <v>43</v>
      </c>
      <c r="L37" s="8"/>
    </row>
    <row r="38" spans="1:12" ht="68">
      <c r="A38" s="2">
        <v>37</v>
      </c>
      <c r="B38" s="3" t="s">
        <v>89</v>
      </c>
      <c r="C38" s="3" t="s">
        <v>90</v>
      </c>
      <c r="D38" s="2" t="s">
        <v>22</v>
      </c>
      <c r="E38" s="2">
        <v>0</v>
      </c>
      <c r="F38" s="2">
        <v>0</v>
      </c>
      <c r="G38" s="2">
        <f t="shared" si="1"/>
        <v>0</v>
      </c>
      <c r="H38" s="2" t="s">
        <v>32</v>
      </c>
      <c r="I38" s="2" t="s">
        <v>27</v>
      </c>
      <c r="J38" s="2" t="s">
        <v>46</v>
      </c>
      <c r="K38" s="2" t="s">
        <v>43</v>
      </c>
      <c r="L38" s="8"/>
    </row>
    <row r="39" spans="1:12" ht="17">
      <c r="A39" s="2">
        <v>38</v>
      </c>
      <c r="B39" s="3" t="s">
        <v>92</v>
      </c>
      <c r="C39" s="3"/>
      <c r="D39" s="2" t="s">
        <v>18</v>
      </c>
      <c r="E39" s="2">
        <v>30</v>
      </c>
      <c r="F39" s="2">
        <v>20</v>
      </c>
      <c r="G39" s="2">
        <f t="shared" si="1"/>
        <v>-10</v>
      </c>
      <c r="H39" s="2" t="s">
        <v>32</v>
      </c>
      <c r="I39" s="2" t="s">
        <v>27</v>
      </c>
      <c r="J39" s="2" t="s">
        <v>46</v>
      </c>
      <c r="K39" s="2" t="s">
        <v>43</v>
      </c>
      <c r="L39" s="8"/>
    </row>
    <row r="40" spans="1:12" ht="17">
      <c r="A40" s="2">
        <v>39</v>
      </c>
      <c r="B40" s="3" t="s">
        <v>91</v>
      </c>
      <c r="C40" s="3" t="s">
        <v>18</v>
      </c>
      <c r="D40" s="2" t="s">
        <v>18</v>
      </c>
      <c r="E40" s="2">
        <v>0</v>
      </c>
      <c r="F40" s="2">
        <v>0</v>
      </c>
      <c r="G40" s="2">
        <f t="shared" si="1"/>
        <v>0</v>
      </c>
      <c r="H40" s="2" t="s">
        <v>32</v>
      </c>
      <c r="I40" s="2" t="s">
        <v>27</v>
      </c>
      <c r="J40" s="2" t="s">
        <v>46</v>
      </c>
      <c r="K40" s="2" t="s">
        <v>43</v>
      </c>
      <c r="L40" s="8"/>
    </row>
    <row r="41" spans="1:12" ht="34">
      <c r="A41" s="2">
        <v>40</v>
      </c>
      <c r="B41" s="3" t="s">
        <v>94</v>
      </c>
      <c r="C41" s="3" t="s">
        <v>62</v>
      </c>
      <c r="D41" s="2" t="s">
        <v>62</v>
      </c>
      <c r="E41" s="2">
        <v>0</v>
      </c>
      <c r="F41" s="2">
        <v>0</v>
      </c>
      <c r="G41" s="2">
        <f t="shared" si="1"/>
        <v>0</v>
      </c>
      <c r="H41" s="2" t="s">
        <v>32</v>
      </c>
      <c r="I41" s="2" t="s">
        <v>27</v>
      </c>
      <c r="J41" s="2" t="s">
        <v>46</v>
      </c>
      <c r="K41" s="2" t="s">
        <v>43</v>
      </c>
      <c r="L41" s="8"/>
    </row>
    <row r="42" spans="1:12" ht="34">
      <c r="A42" s="2">
        <v>41</v>
      </c>
      <c r="B42" s="3" t="s">
        <v>95</v>
      </c>
      <c r="C42" s="3"/>
      <c r="D42" s="2" t="s">
        <v>62</v>
      </c>
      <c r="E42" s="2">
        <v>0</v>
      </c>
      <c r="F42" s="2">
        <v>0</v>
      </c>
      <c r="G42" s="2">
        <f t="shared" si="1"/>
        <v>0</v>
      </c>
      <c r="H42" s="2" t="s">
        <v>32</v>
      </c>
      <c r="I42" s="2" t="s">
        <v>27</v>
      </c>
      <c r="J42" s="2" t="s">
        <v>29</v>
      </c>
      <c r="K42" s="2" t="s">
        <v>43</v>
      </c>
      <c r="L42" s="8"/>
    </row>
    <row r="43" spans="1:12" ht="68">
      <c r="A43" s="2">
        <v>42</v>
      </c>
      <c r="B43" s="3" t="s">
        <v>96</v>
      </c>
      <c r="C43" s="3" t="s">
        <v>97</v>
      </c>
      <c r="D43" s="2" t="s">
        <v>22</v>
      </c>
      <c r="E43" s="2">
        <v>40</v>
      </c>
      <c r="F43" s="2">
        <v>40</v>
      </c>
      <c r="G43" s="2">
        <f t="shared" si="1"/>
        <v>0</v>
      </c>
      <c r="H43" s="2" t="s">
        <v>32</v>
      </c>
      <c r="I43" s="2" t="s">
        <v>28</v>
      </c>
      <c r="J43" s="2" t="s">
        <v>29</v>
      </c>
      <c r="K43" s="2" t="s">
        <v>43</v>
      </c>
      <c r="L43" s="8"/>
    </row>
    <row r="44" spans="1:12">
      <c r="A44" s="2"/>
      <c r="B44" s="3"/>
      <c r="C44" s="3"/>
      <c r="D44" s="2"/>
      <c r="E44" s="2"/>
      <c r="F44" s="2"/>
      <c r="G44" s="2"/>
      <c r="H44" s="2"/>
      <c r="I44" s="2"/>
      <c r="J44" s="2"/>
      <c r="K44" s="2"/>
      <c r="L44" s="8"/>
    </row>
    <row r="45" spans="1:12" s="7" customFormat="1">
      <c r="A45" s="9" t="s">
        <v>20</v>
      </c>
      <c r="B45" s="9"/>
      <c r="C45" s="9"/>
      <c r="D45" s="5" t="s">
        <v>34</v>
      </c>
      <c r="E45" s="6">
        <f>SUM(E2:E44)</f>
        <v>1291.2</v>
      </c>
      <c r="F45" s="4">
        <f>SUM(F2:F44)</f>
        <v>1084.74</v>
      </c>
      <c r="G45" s="2">
        <f t="shared" si="0"/>
        <v>-206.46000000000004</v>
      </c>
      <c r="H45" s="10" t="s">
        <v>33</v>
      </c>
      <c r="I45" s="10"/>
      <c r="J45" s="11">
        <f>F45-SUMIF(I2:I44,"已支付",F2:F44)</f>
        <v>390</v>
      </c>
      <c r="K45" s="11"/>
      <c r="L45" s="5"/>
    </row>
    <row r="46" spans="1:12">
      <c r="H46" s="12" t="s">
        <v>44</v>
      </c>
      <c r="I46" s="13"/>
      <c r="J46" s="12">
        <f>SUMIF(I2:I44,"已支付",F2:F44)</f>
        <v>694.74</v>
      </c>
      <c r="K46" s="12"/>
    </row>
  </sheetData>
  <autoFilter ref="A1:L46" xr:uid="{D86C6A56-1155-254D-8306-53828F17833A}">
    <filterColumn colId="8">
      <filters blank="1">
        <filter val="已支付"/>
      </filters>
    </filterColumn>
  </autoFilter>
  <mergeCells count="5">
    <mergeCell ref="A45:C45"/>
    <mergeCell ref="H45:I45"/>
    <mergeCell ref="J45:K45"/>
    <mergeCell ref="H46:I46"/>
    <mergeCell ref="J46:K46"/>
  </mergeCells>
  <phoneticPr fontId="1" type="noConversion"/>
  <conditionalFormatting sqref="E2:E1048576">
    <cfRule type="cellIs" dxfId="7" priority="4" stopIfTrue="1" operator="notEqual">
      <formula>0</formula>
    </cfRule>
    <cfRule type="cellIs" dxfId="6" priority="5" operator="equal">
      <formula>0</formula>
    </cfRule>
  </conditionalFormatting>
  <conditionalFormatting sqref="F2:G1048576">
    <cfRule type="cellIs" dxfId="5" priority="2" operator="notEqual">
      <formula>0</formula>
    </cfRule>
    <cfRule type="cellIs" dxfId="4" priority="3" operator="equal">
      <formula>0</formula>
    </cfRule>
  </conditionalFormatting>
  <conditionalFormatting sqref="I1:I44 J45 I47:I1048576">
    <cfRule type="cellIs" dxfId="3" priority="9" operator="equal">
      <formula>"已支付"</formula>
    </cfRule>
    <cfRule type="cellIs" dxfId="2" priority="10" operator="equal">
      <formula>"未支付"</formula>
    </cfRule>
  </conditionalFormatting>
  <conditionalFormatting sqref="J1:J1048576">
    <cfRule type="cellIs" dxfId="1" priority="1" operator="equal">
      <formula>"无需完成"</formula>
    </cfRule>
    <cfRule type="cellIs" dxfId="0" priority="8" operator="equal">
      <formula>"已完成"</formula>
    </cfRule>
  </conditionalFormatting>
  <pageMargins left="0.7" right="0.7" top="0.75" bottom="0.75" header="0.3" footer="0.3"/>
  <pageSetup paperSize="9" scale="67"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奕童 王</dc:creator>
  <cp:lastModifiedBy>奕童 王</cp:lastModifiedBy>
  <dcterms:created xsi:type="dcterms:W3CDTF">2026-06-02T00:24:39Z</dcterms:created>
  <dcterms:modified xsi:type="dcterms:W3CDTF">2026-07-21T19:09:21Z</dcterms:modified>
</cp:coreProperties>
</file>