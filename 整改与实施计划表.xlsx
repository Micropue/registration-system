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ropue/Desktop/前后端项目/虎虎校园跑登记系统/"/>
    </mc:Choice>
  </mc:AlternateContent>
  <xr:revisionPtr revIDLastSave="0" documentId="13_ncr:1_{33C97202-96DB-C344-A648-57BC22D6D613}" xr6:coauthVersionLast="47" xr6:coauthVersionMax="47" xr10:uidLastSave="{00000000-0000-0000-0000-000000000000}"/>
  <bookViews>
    <workbookView xWindow="0" yWindow="660" windowWidth="29400" windowHeight="16980" xr2:uid="{9DB7FF6E-2683-AE40-AAEF-56B36CD94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F14" i="1"/>
  <c r="J14" i="1" s="1"/>
  <c r="E14" i="1"/>
  <c r="J15" i="1"/>
  <c r="G10" i="1"/>
  <c r="G11" i="1"/>
  <c r="G12" i="1"/>
  <c r="G3" i="1"/>
  <c r="G4" i="1"/>
  <c r="G5" i="1"/>
  <c r="G6" i="1"/>
  <c r="G7" i="1"/>
  <c r="G8" i="1"/>
  <c r="G9" i="1"/>
  <c r="G2" i="1"/>
  <c r="G14" i="1" l="1"/>
</calcChain>
</file>

<file path=xl/sharedStrings.xml><?xml version="1.0" encoding="utf-8"?>
<sst xmlns="http://schemas.openxmlformats.org/spreadsheetml/2006/main" count="89" uniqueCount="48">
  <si>
    <t>编号</t>
    <phoneticPr fontId="1" type="noConversion"/>
  </si>
  <si>
    <t>功能</t>
    <phoneticPr fontId="1" type="noConversion"/>
  </si>
  <si>
    <t>功能细节</t>
    <phoneticPr fontId="1" type="noConversion"/>
  </si>
  <si>
    <t>功能类型</t>
    <phoneticPr fontId="1" type="noConversion"/>
  </si>
  <si>
    <t>通知功能修改为仅显示未处理的任务</t>
    <phoneticPr fontId="1" type="noConversion"/>
  </si>
  <si>
    <t>编辑App模板支持复刻其他App模版</t>
    <phoneticPr fontId="1" type="noConversion"/>
  </si>
  <si>
    <t>公告功能</t>
    <phoneticPr fontId="1" type="noConversion"/>
  </si>
  <si>
    <t>修改全局消息通知逻辑。</t>
    <phoneticPr fontId="1" type="noConversion"/>
  </si>
  <si>
    <t>编辑/修改/发布/管理</t>
    <phoneticPr fontId="1" type="noConversion"/>
  </si>
  <si>
    <t>模板字段值自行配置加粗/字体颜色/字体大小功能</t>
    <phoneticPr fontId="1" type="noConversion"/>
  </si>
  <si>
    <t>下属用户系统修改</t>
    <phoneticPr fontId="1" type="noConversion"/>
  </si>
  <si>
    <t>订单处理表格跑量文本改为红色加粗</t>
    <phoneticPr fontId="1" type="noConversion"/>
  </si>
  <si>
    <t>订单处理详情范围类选择器，实际展示成短横线连接而非“，”</t>
    <phoneticPr fontId="1" type="noConversion"/>
  </si>
  <si>
    <t>订单处理详情发送图片功能</t>
    <phoneticPr fontId="1" type="noConversion"/>
  </si>
  <si>
    <t>订单信息修改功能</t>
    <phoneticPr fontId="1" type="noConversion"/>
  </si>
  <si>
    <t>对未处理的订单允许分字段修改，在订单详情上方加“修改”按钮。已处理的订单不允许分字段修改</t>
    <phoneticPr fontId="1" type="noConversion"/>
  </si>
  <si>
    <t>订单新建功能区的订单历史加入“修改”按钮</t>
    <phoneticPr fontId="1" type="noConversion"/>
  </si>
  <si>
    <t>修改功能仅分字段修改。</t>
    <phoneticPr fontId="1" type="noConversion"/>
  </si>
  <si>
    <t>工期</t>
    <phoneticPr fontId="1" type="noConversion"/>
  </si>
  <si>
    <t>新增</t>
    <phoneticPr fontId="1" type="noConversion"/>
  </si>
  <si>
    <t>重构</t>
    <phoneticPr fontId="1" type="noConversion"/>
  </si>
  <si>
    <t>总计</t>
    <phoneticPr fontId="1" type="noConversion"/>
  </si>
  <si>
    <t>重构/新增</t>
    <phoneticPr fontId="1" type="noConversion"/>
  </si>
  <si>
    <t>修改</t>
    <phoneticPr fontId="1" type="noConversion"/>
  </si>
  <si>
    <t>新增/重构</t>
    <phoneticPr fontId="1" type="noConversion"/>
  </si>
  <si>
    <t>在订单处理详情界面加入“计算器”功能</t>
    <phoneticPr fontId="1" type="noConversion"/>
  </si>
  <si>
    <t>支付状态</t>
    <phoneticPr fontId="1" type="noConversion"/>
  </si>
  <si>
    <t>完成状态</t>
    <phoneticPr fontId="1" type="noConversion"/>
  </si>
  <si>
    <t>已支付</t>
    <phoneticPr fontId="1" type="noConversion"/>
  </si>
  <si>
    <t>未支付</t>
    <phoneticPr fontId="1" type="noConversion"/>
  </si>
  <si>
    <t>未完成</t>
    <phoneticPr fontId="1" type="noConversion"/>
  </si>
  <si>
    <t>7日</t>
    <phoneticPr fontId="1" type="noConversion"/>
  </si>
  <si>
    <t>1日</t>
  </si>
  <si>
    <t>1日</t>
    <phoneticPr fontId="1" type="noConversion"/>
  </si>
  <si>
    <t>未支付金额</t>
    <phoneticPr fontId="1" type="noConversion"/>
  </si>
  <si>
    <t>所需金额（元）</t>
    <phoneticPr fontId="1" type="noConversion"/>
  </si>
  <si>
    <t>预计完成时间</t>
    <phoneticPr fontId="1" type="noConversion"/>
  </si>
  <si>
    <t>6月9日前</t>
    <phoneticPr fontId="1" type="noConversion"/>
  </si>
  <si>
    <t>6月3日前</t>
    <phoneticPr fontId="1" type="noConversion"/>
  </si>
  <si>
    <t>6月4日前</t>
    <phoneticPr fontId="1" type="noConversion"/>
  </si>
  <si>
    <t>预期价格</t>
    <phoneticPr fontId="1" type="noConversion"/>
  </si>
  <si>
    <t>实际支付</t>
    <phoneticPr fontId="1" type="noConversion"/>
  </si>
  <si>
    <t>新链接下属用户时，自动链接到所有App；解除申请功能/页面/架构设计</t>
    <phoneticPr fontId="1" type="noConversion"/>
  </si>
  <si>
    <t>差价</t>
    <phoneticPr fontId="1" type="noConversion"/>
  </si>
  <si>
    <t>随时</t>
    <phoneticPr fontId="1" type="noConversion"/>
  </si>
  <si>
    <t>已支付金额</t>
    <phoneticPr fontId="1" type="noConversion"/>
  </si>
  <si>
    <t>加入手动更新按钮</t>
    <phoneticPr fontId="1" type="noConversion"/>
  </si>
  <si>
    <t>已完成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</si>
</sst>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trike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6A56-1155-254D-8306-53828F17833A}">
  <dimension ref="A1:K15"/>
  <sheetViews>
    <sheetView tabSelected="1" zoomScale="125" workbookViewId="0">
      <selection activeCell="J4" sqref="J4"/>
    </sheetView>
  </sheetViews>
  <sheetFormatPr baseColWidth="10" defaultRowHeight="16"/>
  <cols>
    <col min="2" max="2" width="29.83203125" style="1" customWidth="1"/>
    <col min="3" max="3" width="29" style="1" customWidth="1"/>
    <col min="4" max="5" width="15.5" customWidth="1"/>
    <col min="8" max="8" width="13" customWidth="1"/>
    <col min="11" max="11" width="12.5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4" t="s">
        <v>40</v>
      </c>
      <c r="F1" s="5" t="s">
        <v>41</v>
      </c>
      <c r="G1" s="5" t="s">
        <v>43</v>
      </c>
      <c r="H1" s="5" t="s">
        <v>18</v>
      </c>
      <c r="I1" s="5" t="s">
        <v>26</v>
      </c>
      <c r="J1" s="5" t="s">
        <v>27</v>
      </c>
      <c r="K1" s="5" t="s">
        <v>36</v>
      </c>
    </row>
    <row r="2" spans="1:11" ht="34">
      <c r="A2" s="2">
        <v>1</v>
      </c>
      <c r="B2" s="3" t="s">
        <v>4</v>
      </c>
      <c r="C2" s="3" t="s">
        <v>7</v>
      </c>
      <c r="D2" s="2" t="s">
        <v>20</v>
      </c>
      <c r="E2" s="2">
        <v>43.2</v>
      </c>
      <c r="F2" s="2">
        <v>15</v>
      </c>
      <c r="G2" s="2">
        <f>F2-E2</f>
        <v>-28.200000000000003</v>
      </c>
      <c r="H2" s="2" t="s">
        <v>31</v>
      </c>
      <c r="I2" s="2" t="s">
        <v>28</v>
      </c>
      <c r="J2" s="2" t="s">
        <v>47</v>
      </c>
      <c r="K2" s="2" t="s">
        <v>37</v>
      </c>
    </row>
    <row r="3" spans="1:11" ht="34">
      <c r="A3" s="2">
        <v>2</v>
      </c>
      <c r="B3" s="3" t="s">
        <v>5</v>
      </c>
      <c r="C3" s="3"/>
      <c r="D3" s="2" t="s">
        <v>19</v>
      </c>
      <c r="E3" s="2">
        <v>60</v>
      </c>
      <c r="F3" s="2">
        <v>52</v>
      </c>
      <c r="G3" s="2">
        <f t="shared" ref="G3:G14" si="0">F3-E3</f>
        <v>-8</v>
      </c>
      <c r="H3" s="2" t="s">
        <v>33</v>
      </c>
      <c r="I3" s="2" t="s">
        <v>28</v>
      </c>
      <c r="J3" s="2" t="s">
        <v>47</v>
      </c>
      <c r="K3" s="2" t="s">
        <v>38</v>
      </c>
    </row>
    <row r="4" spans="1:11" ht="34">
      <c r="A4" s="2">
        <v>3</v>
      </c>
      <c r="B4" s="3" t="s">
        <v>9</v>
      </c>
      <c r="C4" s="3"/>
      <c r="D4" s="2" t="s">
        <v>19</v>
      </c>
      <c r="E4" s="2">
        <v>0</v>
      </c>
      <c r="F4" s="2">
        <v>0</v>
      </c>
      <c r="G4" s="2">
        <f t="shared" si="0"/>
        <v>0</v>
      </c>
      <c r="H4" s="2" t="s">
        <v>33</v>
      </c>
      <c r="I4" s="2" t="s">
        <v>28</v>
      </c>
      <c r="J4" s="2" t="s">
        <v>30</v>
      </c>
      <c r="K4" s="2" t="s">
        <v>44</v>
      </c>
    </row>
    <row r="5" spans="1:11" ht="17">
      <c r="A5" s="2">
        <v>4</v>
      </c>
      <c r="B5" s="3" t="s">
        <v>6</v>
      </c>
      <c r="C5" s="3" t="s">
        <v>8</v>
      </c>
      <c r="D5" s="2" t="s">
        <v>19</v>
      </c>
      <c r="E5" s="2">
        <v>80</v>
      </c>
      <c r="F5" s="2">
        <v>62</v>
      </c>
      <c r="G5" s="2">
        <f t="shared" si="0"/>
        <v>-18</v>
      </c>
      <c r="H5" s="2" t="s">
        <v>33</v>
      </c>
      <c r="I5" s="2" t="s">
        <v>28</v>
      </c>
      <c r="J5" s="2" t="s">
        <v>30</v>
      </c>
      <c r="K5" s="2" t="s">
        <v>39</v>
      </c>
    </row>
    <row r="6" spans="1:11" ht="51">
      <c r="A6" s="2">
        <v>5</v>
      </c>
      <c r="B6" s="3" t="s">
        <v>10</v>
      </c>
      <c r="C6" s="3" t="s">
        <v>42</v>
      </c>
      <c r="D6" s="2" t="s">
        <v>22</v>
      </c>
      <c r="E6" s="2">
        <v>70</v>
      </c>
      <c r="F6" s="2">
        <v>70</v>
      </c>
      <c r="G6" s="2">
        <f t="shared" si="0"/>
        <v>0</v>
      </c>
      <c r="H6" s="2" t="s">
        <v>33</v>
      </c>
      <c r="I6" s="2" t="s">
        <v>29</v>
      </c>
      <c r="J6" s="2" t="s">
        <v>30</v>
      </c>
      <c r="K6" s="2"/>
    </row>
    <row r="7" spans="1:11" ht="34">
      <c r="A7" s="2">
        <v>6</v>
      </c>
      <c r="B7" s="3" t="s">
        <v>11</v>
      </c>
      <c r="C7" s="3"/>
      <c r="D7" s="2" t="s">
        <v>23</v>
      </c>
      <c r="E7" s="2">
        <v>0</v>
      </c>
      <c r="F7" s="2">
        <v>0</v>
      </c>
      <c r="G7" s="2">
        <f t="shared" si="0"/>
        <v>0</v>
      </c>
      <c r="H7" s="2" t="s">
        <v>33</v>
      </c>
      <c r="I7" s="2" t="s">
        <v>28</v>
      </c>
      <c r="J7" s="2" t="s">
        <v>30</v>
      </c>
      <c r="K7" s="2" t="s">
        <v>44</v>
      </c>
    </row>
    <row r="8" spans="1:11" ht="34">
      <c r="A8" s="2">
        <v>7</v>
      </c>
      <c r="B8" s="3" t="s">
        <v>12</v>
      </c>
      <c r="C8" s="3"/>
      <c r="D8" s="2" t="s">
        <v>23</v>
      </c>
      <c r="E8" s="2">
        <v>0</v>
      </c>
      <c r="F8" s="2">
        <v>0</v>
      </c>
      <c r="G8" s="2">
        <f t="shared" si="0"/>
        <v>0</v>
      </c>
      <c r="H8" s="2" t="s">
        <v>32</v>
      </c>
      <c r="I8" s="2" t="s">
        <v>28</v>
      </c>
      <c r="J8" s="2" t="s">
        <v>30</v>
      </c>
      <c r="K8" s="2" t="s">
        <v>44</v>
      </c>
    </row>
    <row r="9" spans="1:11" ht="17">
      <c r="A9" s="2">
        <v>8</v>
      </c>
      <c r="B9" s="3" t="s">
        <v>13</v>
      </c>
      <c r="C9" s="3"/>
      <c r="D9" s="2" t="s">
        <v>24</v>
      </c>
      <c r="E9" s="2">
        <v>180</v>
      </c>
      <c r="F9" s="2">
        <v>180</v>
      </c>
      <c r="G9" s="2">
        <f t="shared" si="0"/>
        <v>0</v>
      </c>
      <c r="H9" s="2" t="s">
        <v>32</v>
      </c>
      <c r="I9" s="2" t="s">
        <v>29</v>
      </c>
      <c r="J9" s="2" t="s">
        <v>30</v>
      </c>
      <c r="K9" s="2"/>
    </row>
    <row r="10" spans="1:11" ht="68">
      <c r="A10" s="2">
        <v>9</v>
      </c>
      <c r="B10" s="3" t="s">
        <v>14</v>
      </c>
      <c r="C10" s="3" t="s">
        <v>15</v>
      </c>
      <c r="D10" s="2" t="s">
        <v>19</v>
      </c>
      <c r="E10" s="2">
        <v>50</v>
      </c>
      <c r="F10" s="2">
        <v>39</v>
      </c>
      <c r="G10" s="2">
        <f>F10-E10</f>
        <v>-11</v>
      </c>
      <c r="H10" s="2" t="s">
        <v>33</v>
      </c>
      <c r="I10" s="2" t="s">
        <v>28</v>
      </c>
      <c r="J10" s="2" t="s">
        <v>30</v>
      </c>
      <c r="K10" s="2" t="s">
        <v>39</v>
      </c>
    </row>
    <row r="11" spans="1:11" ht="34">
      <c r="A11" s="2">
        <v>10</v>
      </c>
      <c r="B11" s="3" t="s">
        <v>16</v>
      </c>
      <c r="C11" s="3" t="s">
        <v>17</v>
      </c>
      <c r="D11" s="2" t="s">
        <v>19</v>
      </c>
      <c r="E11" s="2">
        <v>50</v>
      </c>
      <c r="F11" s="2">
        <v>39</v>
      </c>
      <c r="G11" s="2">
        <f t="shared" si="0"/>
        <v>-11</v>
      </c>
      <c r="H11" s="2" t="s">
        <v>32</v>
      </c>
      <c r="I11" s="2" t="s">
        <v>28</v>
      </c>
      <c r="J11" s="2" t="s">
        <v>30</v>
      </c>
      <c r="K11" s="2" t="s">
        <v>39</v>
      </c>
    </row>
    <row r="12" spans="1:11" ht="34">
      <c r="A12" s="2">
        <v>11</v>
      </c>
      <c r="B12" s="3" t="s">
        <v>25</v>
      </c>
      <c r="C12" s="3"/>
      <c r="D12" s="2" t="s">
        <v>19</v>
      </c>
      <c r="E12" s="2">
        <v>100</v>
      </c>
      <c r="F12" s="2">
        <v>100</v>
      </c>
      <c r="G12" s="2">
        <f t="shared" si="0"/>
        <v>0</v>
      </c>
      <c r="H12" s="2" t="s">
        <v>33</v>
      </c>
      <c r="I12" s="2" t="s">
        <v>29</v>
      </c>
      <c r="J12" s="2" t="s">
        <v>30</v>
      </c>
      <c r="K12" s="2"/>
    </row>
    <row r="13" spans="1:11" ht="17">
      <c r="A13" s="2">
        <v>12</v>
      </c>
      <c r="B13" s="3" t="s">
        <v>46</v>
      </c>
      <c r="C13" s="3"/>
      <c r="D13" s="2" t="s">
        <v>19</v>
      </c>
      <c r="E13" s="2">
        <v>0</v>
      </c>
      <c r="F13" s="2">
        <v>0</v>
      </c>
      <c r="G13" s="2">
        <f t="shared" si="0"/>
        <v>0</v>
      </c>
      <c r="H13" s="2" t="s">
        <v>33</v>
      </c>
      <c r="I13" s="2" t="s">
        <v>28</v>
      </c>
      <c r="J13" s="2" t="s">
        <v>47</v>
      </c>
      <c r="K13" s="2" t="s">
        <v>44</v>
      </c>
    </row>
    <row r="14" spans="1:11" s="7" customFormat="1">
      <c r="A14" s="8" t="s">
        <v>21</v>
      </c>
      <c r="B14" s="8"/>
      <c r="C14" s="8"/>
      <c r="D14" s="5" t="s">
        <v>35</v>
      </c>
      <c r="E14" s="6">
        <f>SUM(E2:E13)</f>
        <v>633.20000000000005</v>
      </c>
      <c r="F14" s="4">
        <f>SUM(F2:F13)</f>
        <v>557</v>
      </c>
      <c r="G14" s="2">
        <f t="shared" si="0"/>
        <v>-76.200000000000045</v>
      </c>
      <c r="H14" s="9" t="s">
        <v>34</v>
      </c>
      <c r="I14" s="9"/>
      <c r="J14" s="10">
        <f>F14-SUMIF(I2:I12,"已支付",F2:F12)</f>
        <v>350</v>
      </c>
      <c r="K14" s="10"/>
    </row>
    <row r="15" spans="1:11">
      <c r="H15" s="10" t="s">
        <v>45</v>
      </c>
      <c r="I15" s="11"/>
      <c r="J15" s="10">
        <f>SUMIF(I2:I12,"已支付",F2:F12)</f>
        <v>207</v>
      </c>
      <c r="K15" s="10"/>
    </row>
  </sheetData>
  <mergeCells count="5">
    <mergeCell ref="A14:C14"/>
    <mergeCell ref="H14:I14"/>
    <mergeCell ref="J14:K14"/>
    <mergeCell ref="H15:I15"/>
    <mergeCell ref="J15:K15"/>
  </mergeCells>
  <phoneticPr fontId="1" type="noConversion"/>
  <conditionalFormatting sqref="E2:E1048576">
    <cfRule type="cellIs" dxfId="6" priority="3" stopIfTrue="1" operator="notEqual">
      <formula>0</formula>
    </cfRule>
    <cfRule type="cellIs" dxfId="5" priority="4" operator="equal">
      <formula>0</formula>
    </cfRule>
  </conditionalFormatting>
  <conditionalFormatting sqref="F2:G1048576">
    <cfRule type="cellIs" dxfId="4" priority="1" operator="notEqual">
      <formula>0</formula>
    </cfRule>
    <cfRule type="cellIs" dxfId="3" priority="2" operator="equal">
      <formula>0</formula>
    </cfRule>
  </conditionalFormatting>
  <conditionalFormatting sqref="I1:I13 J14 I16:I1048576">
    <cfRule type="cellIs" dxfId="2" priority="8" operator="equal">
      <formula>"已支付"</formula>
    </cfRule>
    <cfRule type="cellIs" dxfId="1" priority="9" operator="equal">
      <formula>"未支付"</formula>
    </cfRule>
  </conditionalFormatting>
  <conditionalFormatting sqref="J1:J1048576">
    <cfRule type="cellIs" dxfId="0" priority="7" operator="equal">
      <formula>"已完成"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奕童 王</dc:creator>
  <cp:lastModifiedBy>奕童 王</cp:lastModifiedBy>
  <dcterms:created xsi:type="dcterms:W3CDTF">2026-06-02T00:24:39Z</dcterms:created>
  <dcterms:modified xsi:type="dcterms:W3CDTF">2026-06-03T03:10:40Z</dcterms:modified>
</cp:coreProperties>
</file>