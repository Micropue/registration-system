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B59F1A8F-F1DA-4C4E-BF1B-98083C3450FE}" xr6:coauthVersionLast="47" xr6:coauthVersionMax="47" xr10:uidLastSave="{00000000-0000-0000-0000-000000000000}"/>
  <bookViews>
    <workbookView xWindow="0" yWindow="600" windowWidth="51200" windowHeight="26720" xr2:uid="{9DB7FF6E-2683-AE40-AAEF-56B36CD941DB}"/>
  </bookViews>
  <sheets>
    <sheet name="Sheet1" sheetId="1" r:id="rId1"/>
  </sheets>
  <definedNames>
    <definedName name="_xlnm._FilterDatabase" localSheetId="0" hidden="1">Sheet1!$A$1:$L$23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 l="1"/>
  <c r="G20" i="1"/>
  <c r="E22" i="1"/>
  <c r="J23" i="1"/>
  <c r="J22" i="1"/>
  <c r="G19" i="1"/>
  <c r="G18" i="1"/>
  <c r="G3" i="1"/>
  <c r="G4" i="1"/>
  <c r="G5" i="1"/>
  <c r="G6" i="1"/>
  <c r="G7" i="1"/>
  <c r="G8" i="1"/>
  <c r="G9" i="1"/>
  <c r="G10" i="1"/>
  <c r="G11" i="1"/>
  <c r="G12" i="1"/>
  <c r="G13" i="1"/>
  <c r="G14" i="1"/>
  <c r="G15" i="1"/>
  <c r="G16" i="1"/>
  <c r="G17" i="1"/>
  <c r="G2" i="1"/>
  <c r="G22" i="1" l="1"/>
</calcChain>
</file>

<file path=xl/sharedStrings.xml><?xml version="1.0" encoding="utf-8"?>
<sst xmlns="http://schemas.openxmlformats.org/spreadsheetml/2006/main" count="134" uniqueCount="61">
  <si>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</si>
  <si>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</si>
  <si>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</si>
  <si>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</si>
  <si>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</si>
  <si>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</si>
  <si>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</si>
  <si>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</si>
  <si>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</si>
  <si>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</si>
  <si>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</si>
  <si>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</si>
  <si>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</si>
  <si>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</si>
  <si>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</si>
  <si>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</si>
  <si>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</si>
  <si>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</si>
  <si>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</si>
  <si>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</si>
  <si>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</si>
  <si>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</si>
  <si>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</si>
  <si>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</si>
  <si>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</si>
  <si>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</si>
  <si>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</si>
  <si>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</si>
  <si>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</si>
  <si>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</si>
  <si>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</si>
  <si>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</si>
  <si>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</si>
  <si>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</si>
  <si>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</si>
  <si>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</si>
  <si>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</si>
  <si>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</si>
  <si>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</si>
  <si>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</si>
  <si>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</si>
  <si>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</si>
  <si>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</si>
  <si>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</si>
  <si>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</si>
  <si>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</si>
  <si>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</si>
  <si>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</si>
  <si>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</si>
  <si>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</si>
  <si>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</si>
  <si>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</si>
  <si>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</si>
  <si>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</si>
  <si>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</si>
  <si>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</si>
  <si>
    <t>模板支持上传图片</t>
    <phoneticPr fontId="1" type="noConversion"/>
  </si>
  <si>
    <t>加入一键下载图片功能，模板配置中支持图像上传表单</t>
    <phoneticPr fontId="1" type="noConversion"/>
  </si>
  <si>
    <t>订单处理详情聊天发送图片功能</t>
    <phoneticPr fontId="1" type="noConversion"/>
  </si>
  <si>
    <t>6月12日前</t>
    <phoneticPr fontId="1" type="noConversion"/>
  </si>
  <si>
    <t>员工订单历史界面支持筛选内部字段值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</si>
</sst>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dimension ref="A1:L23"/>
  <sheetViews>
    <sheetView tabSelected="1" zoomScale="115" workbookViewId="0">
      <selection activeCell="L20" sqref="L20"/>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39</v>
      </c>
      <c r="F1" s="5" t="s">
        <v>40</v>
      </c>
      <c r="G1" s="5" t="s">
        <v>42</v>
      </c>
      <c r="H1" s="5" t="s">
        <v>17</v>
      </c>
      <c r="I1" s="5" t="s">
        <v>25</v>
      </c>
      <c r="J1" s="5" t="s">
        <v>26</v>
      </c>
      <c r="K1" s="5" t="s">
        <v>35</v>
      </c>
      <c r="L1" s="5" t="s">
        <v>48</v>
      </c>
    </row>
    <row r="2" spans="1:12" ht="34">
      <c r="A2" s="2">
        <v>1</v>
      </c>
      <c r="B2" s="3" t="s">
        <v>4</v>
      </c>
      <c r="C2" s="3" t="s">
        <v>7</v>
      </c>
      <c r="D2" s="2" t="s">
        <v>19</v>
      </c>
      <c r="E2" s="2">
        <v>43.2</v>
      </c>
      <c r="F2" s="2">
        <v>15</v>
      </c>
      <c r="G2" s="2">
        <f>F2-E2</f>
        <v>-28.200000000000003</v>
      </c>
      <c r="H2" s="2" t="s">
        <v>30</v>
      </c>
      <c r="I2" s="2" t="s">
        <v>27</v>
      </c>
      <c r="J2" s="2" t="s">
        <v>46</v>
      </c>
      <c r="K2" s="2" t="s">
        <v>36</v>
      </c>
      <c r="L2" s="8">
        <v>46176</v>
      </c>
    </row>
    <row r="3" spans="1:12" ht="34">
      <c r="A3" s="2">
        <v>2</v>
      </c>
      <c r="B3" s="3" t="s">
        <v>5</v>
      </c>
      <c r="C3" s="3"/>
      <c r="D3" s="2" t="s">
        <v>18</v>
      </c>
      <c r="E3" s="2">
        <v>60</v>
      </c>
      <c r="F3" s="2">
        <v>52</v>
      </c>
      <c r="G3" s="2">
        <f t="shared" ref="G3:G22" si="0">F3-E3</f>
        <v>-8</v>
      </c>
      <c r="H3" s="2" t="s">
        <v>32</v>
      </c>
      <c r="I3" s="2" t="s">
        <v>27</v>
      </c>
      <c r="J3" s="2" t="s">
        <v>46</v>
      </c>
      <c r="K3" s="2" t="s">
        <v>37</v>
      </c>
      <c r="L3" s="8">
        <v>46176</v>
      </c>
    </row>
    <row r="4" spans="1:12" ht="34">
      <c r="A4" s="2">
        <v>3</v>
      </c>
      <c r="B4" s="3" t="s">
        <v>9</v>
      </c>
      <c r="C4" s="3"/>
      <c r="D4" s="2" t="s">
        <v>18</v>
      </c>
      <c r="E4" s="2">
        <v>0</v>
      </c>
      <c r="F4" s="2">
        <v>0</v>
      </c>
      <c r="G4" s="2">
        <f t="shared" si="0"/>
        <v>0</v>
      </c>
      <c r="H4" s="2" t="s">
        <v>32</v>
      </c>
      <c r="I4" s="2" t="s">
        <v>27</v>
      </c>
      <c r="J4" s="2" t="s">
        <v>46</v>
      </c>
      <c r="K4" s="2" t="s">
        <v>43</v>
      </c>
      <c r="L4" s="8">
        <v>46177</v>
      </c>
    </row>
    <row r="5" spans="1:12" ht="17">
      <c r="A5" s="2">
        <v>4</v>
      </c>
      <c r="B5" s="3" t="s">
        <v>6</v>
      </c>
      <c r="C5" s="3" t="s">
        <v>8</v>
      </c>
      <c r="D5" s="2" t="s">
        <v>18</v>
      </c>
      <c r="E5" s="2">
        <v>80</v>
      </c>
      <c r="F5" s="2">
        <v>62</v>
      </c>
      <c r="G5" s="2">
        <f t="shared" si="0"/>
        <v>-18</v>
      </c>
      <c r="H5" s="2" t="s">
        <v>32</v>
      </c>
      <c r="I5" s="2" t="s">
        <v>27</v>
      </c>
      <c r="J5" s="2" t="s">
        <v>46</v>
      </c>
      <c r="K5" s="2" t="s">
        <v>38</v>
      </c>
      <c r="L5" s="8">
        <v>46177</v>
      </c>
    </row>
    <row r="6" spans="1:12" ht="51">
      <c r="A6" s="2">
        <v>5</v>
      </c>
      <c r="B6" s="3" t="s">
        <v>10</v>
      </c>
      <c r="C6" s="3" t="s">
        <v>41</v>
      </c>
      <c r="D6" s="2" t="s">
        <v>21</v>
      </c>
      <c r="E6" s="2">
        <v>70</v>
      </c>
      <c r="F6" s="2">
        <v>70</v>
      </c>
      <c r="G6" s="2">
        <f t="shared" si="0"/>
        <v>0</v>
      </c>
      <c r="H6" s="2" t="s">
        <v>32</v>
      </c>
      <c r="I6" s="2" t="s">
        <v>28</v>
      </c>
      <c r="J6" s="2" t="s">
        <v>29</v>
      </c>
      <c r="K6" s="2"/>
      <c r="L6" s="2"/>
    </row>
    <row r="7" spans="1:12" ht="34">
      <c r="A7" s="2">
        <v>6</v>
      </c>
      <c r="B7" s="3" t="s">
        <v>11</v>
      </c>
      <c r="C7" s="3"/>
      <c r="D7" s="2" t="s">
        <v>22</v>
      </c>
      <c r="E7" s="2">
        <v>0</v>
      </c>
      <c r="F7" s="2">
        <v>0</v>
      </c>
      <c r="G7" s="2">
        <f t="shared" si="0"/>
        <v>0</v>
      </c>
      <c r="H7" s="2" t="s">
        <v>32</v>
      </c>
      <c r="I7" s="2" t="s">
        <v>27</v>
      </c>
      <c r="J7" s="2" t="s">
        <v>46</v>
      </c>
      <c r="K7" s="2" t="s">
        <v>43</v>
      </c>
      <c r="L7" s="8">
        <v>46177</v>
      </c>
    </row>
    <row r="8" spans="1:12" ht="34">
      <c r="A8" s="2">
        <v>7</v>
      </c>
      <c r="B8" s="3" t="s">
        <v>12</v>
      </c>
      <c r="C8" s="3"/>
      <c r="D8" s="2" t="s">
        <v>22</v>
      </c>
      <c r="E8" s="2">
        <v>0</v>
      </c>
      <c r="F8" s="2">
        <v>0</v>
      </c>
      <c r="G8" s="2">
        <f t="shared" si="0"/>
        <v>0</v>
      </c>
      <c r="H8" s="2" t="s">
        <v>31</v>
      </c>
      <c r="I8" s="2" t="s">
        <v>27</v>
      </c>
      <c r="J8" s="2" t="s">
        <v>46</v>
      </c>
      <c r="K8" s="2" t="s">
        <v>43</v>
      </c>
      <c r="L8" s="8">
        <v>46177</v>
      </c>
    </row>
    <row r="9" spans="1:12" ht="17">
      <c r="A9" s="2">
        <v>8</v>
      </c>
      <c r="B9" s="3" t="s">
        <v>58</v>
      </c>
      <c r="C9" s="3"/>
      <c r="D9" s="2" t="s">
        <v>23</v>
      </c>
      <c r="E9" s="2">
        <v>180</v>
      </c>
      <c r="F9" s="2">
        <v>180</v>
      </c>
      <c r="G9" s="2">
        <f t="shared" si="0"/>
        <v>0</v>
      </c>
      <c r="H9" s="2" t="s">
        <v>31</v>
      </c>
      <c r="I9" s="2" t="s">
        <v>28</v>
      </c>
      <c r="J9" s="2" t="s">
        <v>29</v>
      </c>
      <c r="K9" s="2"/>
      <c r="L9" s="2"/>
    </row>
    <row r="10" spans="1:12" ht="68">
      <c r="A10" s="2">
        <v>9</v>
      </c>
      <c r="B10" s="3" t="s">
        <v>13</v>
      </c>
      <c r="C10" s="3" t="s">
        <v>14</v>
      </c>
      <c r="D10" s="2" t="s">
        <v>18</v>
      </c>
      <c r="E10" s="2">
        <v>50</v>
      </c>
      <c r="F10" s="2">
        <v>39</v>
      </c>
      <c r="G10" s="2">
        <f t="shared" si="0"/>
        <v>-11</v>
      </c>
      <c r="H10" s="2" t="s">
        <v>32</v>
      </c>
      <c r="I10" s="2" t="s">
        <v>27</v>
      </c>
      <c r="J10" s="2" t="s">
        <v>46</v>
      </c>
      <c r="K10" s="2" t="s">
        <v>38</v>
      </c>
      <c r="L10" s="8">
        <v>46177</v>
      </c>
    </row>
    <row r="11" spans="1:12" ht="34">
      <c r="A11" s="2">
        <v>10</v>
      </c>
      <c r="B11" s="3" t="s">
        <v>15</v>
      </c>
      <c r="C11" s="3" t="s">
        <v>16</v>
      </c>
      <c r="D11" s="2" t="s">
        <v>18</v>
      </c>
      <c r="E11" s="2">
        <v>50</v>
      </c>
      <c r="F11" s="2">
        <v>39</v>
      </c>
      <c r="G11" s="2">
        <f t="shared" si="0"/>
        <v>-11</v>
      </c>
      <c r="H11" s="2" t="s">
        <v>31</v>
      </c>
      <c r="I11" s="2" t="s">
        <v>27</v>
      </c>
      <c r="J11" s="2" t="s">
        <v>46</v>
      </c>
      <c r="K11" s="2" t="s">
        <v>38</v>
      </c>
      <c r="L11" s="8">
        <v>46177</v>
      </c>
    </row>
    <row r="12" spans="1:12" ht="34">
      <c r="A12" s="2">
        <v>11</v>
      </c>
      <c r="B12" s="3" t="s">
        <v>24</v>
      </c>
      <c r="C12" s="3"/>
      <c r="D12" s="2" t="s">
        <v>18</v>
      </c>
      <c r="E12" s="2">
        <v>100</v>
      </c>
      <c r="F12" s="2">
        <v>100</v>
      </c>
      <c r="G12" s="2">
        <f t="shared" si="0"/>
        <v>0</v>
      </c>
      <c r="H12" s="2" t="s">
        <v>32</v>
      </c>
      <c r="I12" s="2" t="s">
        <v>28</v>
      </c>
      <c r="J12" s="2" t="s">
        <v>29</v>
      </c>
      <c r="K12" s="2"/>
      <c r="L12" s="2"/>
    </row>
    <row r="13" spans="1:12" ht="17">
      <c r="A13" s="2">
        <v>12</v>
      </c>
      <c r="B13" s="3" t="s">
        <v>45</v>
      </c>
      <c r="C13" s="3"/>
      <c r="D13" s="2" t="s">
        <v>18</v>
      </c>
      <c r="E13" s="2">
        <v>0</v>
      </c>
      <c r="F13" s="2">
        <v>0</v>
      </c>
      <c r="G13" s="2">
        <f t="shared" si="0"/>
        <v>0</v>
      </c>
      <c r="H13" s="2" t="s">
        <v>32</v>
      </c>
      <c r="I13" s="2" t="s">
        <v>27</v>
      </c>
      <c r="J13" s="2" t="s">
        <v>46</v>
      </c>
      <c r="K13" s="2" t="s">
        <v>43</v>
      </c>
      <c r="L13" s="8">
        <v>46176</v>
      </c>
    </row>
    <row r="14" spans="1:12" ht="17">
      <c r="A14" s="2">
        <v>13</v>
      </c>
      <c r="B14" s="3" t="s">
        <v>47</v>
      </c>
      <c r="C14" s="3"/>
      <c r="D14" s="2" t="s">
        <v>18</v>
      </c>
      <c r="E14" s="2">
        <v>0</v>
      </c>
      <c r="F14" s="2">
        <v>0</v>
      </c>
      <c r="G14" s="2">
        <f t="shared" si="0"/>
        <v>0</v>
      </c>
      <c r="H14" s="2" t="s">
        <v>32</v>
      </c>
      <c r="I14" s="2" t="s">
        <v>27</v>
      </c>
      <c r="J14" s="2" t="s">
        <v>46</v>
      </c>
      <c r="K14" s="2" t="s">
        <v>43</v>
      </c>
      <c r="L14" s="8">
        <v>46177</v>
      </c>
    </row>
    <row r="15" spans="1:12" ht="17">
      <c r="A15" s="2">
        <v>14</v>
      </c>
      <c r="B15" s="3" t="s">
        <v>49</v>
      </c>
      <c r="C15" s="3"/>
      <c r="D15" s="2" t="s">
        <v>18</v>
      </c>
      <c r="E15" s="2">
        <v>30</v>
      </c>
      <c r="F15" s="2">
        <v>30</v>
      </c>
      <c r="G15" s="2">
        <f t="shared" si="0"/>
        <v>0</v>
      </c>
      <c r="H15" s="2" t="s">
        <v>32</v>
      </c>
      <c r="I15" s="2" t="s">
        <v>28</v>
      </c>
      <c r="J15" s="2" t="s">
        <v>29</v>
      </c>
      <c r="K15" s="2" t="s">
        <v>38</v>
      </c>
      <c r="L15" s="2"/>
    </row>
    <row r="16" spans="1:12" ht="17">
      <c r="A16" s="2">
        <v>15</v>
      </c>
      <c r="B16" s="3" t="s">
        <v>50</v>
      </c>
      <c r="C16" s="3"/>
      <c r="D16" s="2" t="s">
        <v>18</v>
      </c>
      <c r="E16" s="2">
        <v>0</v>
      </c>
      <c r="F16" s="2">
        <v>0</v>
      </c>
      <c r="G16" s="2">
        <f t="shared" si="0"/>
        <v>0</v>
      </c>
      <c r="H16" s="2" t="s">
        <v>32</v>
      </c>
      <c r="I16" s="2" t="s">
        <v>27</v>
      </c>
      <c r="J16" s="2" t="s">
        <v>46</v>
      </c>
      <c r="K16" s="2" t="s">
        <v>43</v>
      </c>
      <c r="L16" s="8">
        <v>46177</v>
      </c>
    </row>
    <row r="17" spans="1:12" ht="51">
      <c r="A17" s="2">
        <v>16</v>
      </c>
      <c r="B17" s="3" t="s">
        <v>51</v>
      </c>
      <c r="C17" s="3"/>
      <c r="D17" s="2" t="s">
        <v>22</v>
      </c>
      <c r="E17" s="2">
        <v>0</v>
      </c>
      <c r="F17" s="2">
        <v>0</v>
      </c>
      <c r="G17" s="2">
        <f t="shared" si="0"/>
        <v>0</v>
      </c>
      <c r="H17" s="2" t="s">
        <v>32</v>
      </c>
      <c r="I17" s="2" t="s">
        <v>27</v>
      </c>
      <c r="J17" s="2" t="s">
        <v>46</v>
      </c>
      <c r="K17" s="2" t="s">
        <v>52</v>
      </c>
      <c r="L17" s="8">
        <v>46178</v>
      </c>
    </row>
    <row r="18" spans="1:12" ht="153">
      <c r="A18" s="2">
        <v>17</v>
      </c>
      <c r="B18" s="3" t="s">
        <v>53</v>
      </c>
      <c r="C18" s="3" t="s">
        <v>55</v>
      </c>
      <c r="D18" s="2" t="s">
        <v>19</v>
      </c>
      <c r="E18" s="2">
        <v>60</v>
      </c>
      <c r="F18" s="2">
        <v>50</v>
      </c>
      <c r="G18" s="2">
        <f t="shared" si="0"/>
        <v>-10</v>
      </c>
      <c r="H18" s="2" t="s">
        <v>32</v>
      </c>
      <c r="I18" s="2" t="s">
        <v>27</v>
      </c>
      <c r="J18" s="2" t="s">
        <v>46</v>
      </c>
      <c r="K18" s="2" t="s">
        <v>54</v>
      </c>
      <c r="L18" s="8">
        <v>46178</v>
      </c>
    </row>
    <row r="19" spans="1:12" ht="34">
      <c r="A19" s="2">
        <v>18</v>
      </c>
      <c r="B19" s="3" t="s">
        <v>56</v>
      </c>
      <c r="C19" s="3" t="s">
        <v>57</v>
      </c>
      <c r="D19" s="2" t="s">
        <v>18</v>
      </c>
      <c r="E19" s="2">
        <v>170</v>
      </c>
      <c r="F19" s="2">
        <v>130</v>
      </c>
      <c r="G19" s="2">
        <f t="shared" si="0"/>
        <v>-40</v>
      </c>
      <c r="H19" s="2" t="s">
        <v>32</v>
      </c>
      <c r="I19" s="2" t="s">
        <v>27</v>
      </c>
      <c r="J19" s="2" t="s">
        <v>46</v>
      </c>
      <c r="K19" s="2" t="s">
        <v>59</v>
      </c>
      <c r="L19" s="8"/>
    </row>
    <row r="20" spans="1:12" ht="34">
      <c r="A20" s="2">
        <v>19</v>
      </c>
      <c r="B20" s="3" t="s">
        <v>60</v>
      </c>
      <c r="C20" s="3"/>
      <c r="D20" s="2" t="s">
        <v>18</v>
      </c>
      <c r="E20" s="2">
        <v>0</v>
      </c>
      <c r="F20" s="2">
        <v>0</v>
      </c>
      <c r="G20" s="2">
        <f t="shared" si="0"/>
        <v>0</v>
      </c>
      <c r="H20" s="2" t="s">
        <v>32</v>
      </c>
      <c r="I20" s="2" t="s">
        <v>27</v>
      </c>
      <c r="J20" s="2" t="s">
        <v>29</v>
      </c>
      <c r="K20" s="2" t="s">
        <v>43</v>
      </c>
      <c r="L20" s="8"/>
    </row>
    <row r="21" spans="1:12">
      <c r="A21" s="2"/>
      <c r="B21" s="3"/>
      <c r="C21" s="3"/>
      <c r="D21" s="2"/>
      <c r="E21" s="2"/>
      <c r="F21" s="2"/>
      <c r="G21" s="2"/>
      <c r="H21" s="2"/>
      <c r="I21" s="2"/>
      <c r="J21" s="2"/>
      <c r="K21" s="2"/>
      <c r="L21" s="8"/>
    </row>
    <row r="22" spans="1:12" s="7" customFormat="1">
      <c r="A22" s="9" t="s">
        <v>20</v>
      </c>
      <c r="B22" s="9"/>
      <c r="C22" s="9"/>
      <c r="D22" s="5" t="s">
        <v>34</v>
      </c>
      <c r="E22" s="6">
        <f>SUM(E2:E20)</f>
        <v>893.2</v>
      </c>
      <c r="F22" s="4">
        <f>SUM(F2:F20)</f>
        <v>767</v>
      </c>
      <c r="G22" s="2">
        <f t="shared" si="0"/>
        <v>-126.20000000000005</v>
      </c>
      <c r="H22" s="10" t="s">
        <v>33</v>
      </c>
      <c r="I22" s="10"/>
      <c r="J22" s="11">
        <f>F22-SUMIF(I2:I21,"已支付",F2:F21)</f>
        <v>380</v>
      </c>
      <c r="K22" s="11"/>
      <c r="L22" s="5"/>
    </row>
    <row r="23" spans="1:12">
      <c r="H23" s="12" t="s">
        <v>44</v>
      </c>
      <c r="I23" s="13"/>
      <c r="J23" s="12">
        <f>SUMIF(I2:I21,"已支付",F2:F21)</f>
        <v>387</v>
      </c>
      <c r="K23" s="12"/>
    </row>
  </sheetData>
  <autoFilter ref="A1:L23" xr:uid="{D86C6A56-1155-254D-8306-53828F17833A}"/>
  <mergeCells count="5">
    <mergeCell ref="A22:C22"/>
    <mergeCell ref="H22:I22"/>
    <mergeCell ref="J22:K22"/>
    <mergeCell ref="H23:I23"/>
    <mergeCell ref="J23:K23"/>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I1:I21 J22 I24:I1048576">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2026-06-07T11:01:10Z</dcterms:modified>
</cp:coreProperties>
</file>