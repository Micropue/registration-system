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micropue/Desktop/前后端项目/虎虎校园跑登记系统/"/>
    </mc:Choice>
  </mc:AlternateContent>
  <xr:revisionPtr revIDLastSave="0" documentId="13_ncr:1_{76F8F2EB-9BB3-9949-9FBB-0A791C48238D}" xr6:coauthVersionLast="47" xr6:coauthVersionMax="47" xr10:uidLastSave="{00000000-0000-0000-0000-000000000000}"/>
  <bookViews>
    <workbookView xWindow="300" yWindow="900" windowWidth="28800" windowHeight="16960" xr2:uid="{9DB7FF6E-2683-AE40-AAEF-56B36CD941DB}"/>
  </bookViews>
  <sheets>
    <sheet name="Sheet1" sheetId="1" r:id="rId1"/>
  </sheets>
  <definedNames>
    <definedName name="_xlnm._FilterDatabase" localSheetId="0" hidden="1">Sheet1!$A$1:$L$21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1" l="1"/>
  <c r="J20" i="1" s="1"/>
  <c r="G19" i="1"/>
  <c r="E20" i="1"/>
  <c r="G18" i="1"/>
  <c r="G3" i="1"/>
  <c r="G4" i="1"/>
  <c r="G5" i="1"/>
  <c r="G6" i="1"/>
  <c r="G7" i="1"/>
  <c r="G8" i="1"/>
  <c r="G9" i="1"/>
  <c r="G10" i="1"/>
  <c r="G11" i="1"/>
  <c r="G12" i="1"/>
  <c r="G13" i="1"/>
  <c r="G14" i="1"/>
  <c r="G15" i="1"/>
  <c r="G16" i="1"/>
  <c r="G17" i="1"/>
  <c r="J21" i="1"/>
  <c r="G2" i="1"/>
  <c r="G20" i="1" l="1"/>
</calcChain>
</file>

<file path=xl/sharedStrings.xml><?xml version="1.0" encoding="utf-8"?>
<sst xmlns="http://schemas.openxmlformats.org/spreadsheetml/2006/main" count="128" uniqueCount="60">
  <si>
    <t>编号</t>
    <phoneticPr fontId="1" type="noConversion"/>
  </si>
  <si>
    <t>功能</t>
    <phoneticPr fontId="1" type="noConversion"/>
  </si>
  <si>
    <t>功能细节</t>
    <phoneticPr fontId="1" type="noConversion"/>
  </si>
  <si>
    <t>功能类型</t>
    <phoneticPr fontId="1" type="noConversion"/>
  </si>
  <si>
    <t>通知功能修改为仅显示未处理的任务</t>
    <phoneticPr fontId="1" type="noConversion"/>
  </si>
  <si>
    <t>编辑App模板支持复刻其他App模版</t>
    <phoneticPr fontId="1" type="noConversion"/>
  </si>
  <si>
    <t>公告功能</t>
    <phoneticPr fontId="1" type="noConversion"/>
  </si>
  <si>
    <t>修改全局消息通知逻辑。</t>
    <phoneticPr fontId="1" type="noConversion"/>
  </si>
  <si>
    <t>编辑/修改/发布/管理</t>
    <phoneticPr fontId="1" type="noConversion"/>
  </si>
  <si>
    <t>模板字段值自行配置加粗/字体颜色/字体大小功能</t>
    <phoneticPr fontId="1" type="noConversion"/>
  </si>
  <si>
    <t>下属用户系统修改</t>
    <phoneticPr fontId="1" type="noConversion"/>
  </si>
  <si>
    <t>订单处理表格跑量文本改为红色加粗</t>
    <phoneticPr fontId="1" type="noConversion"/>
  </si>
  <si>
    <t>订单处理详情范围类选择器，实际展示成短横线连接而非“，”</t>
    <phoneticPr fontId="1" type="noConversion"/>
  </si>
  <si>
    <t>订单信息修改功能</t>
    <phoneticPr fontId="1" type="noConversion"/>
  </si>
  <si>
    <t>对未处理的订单允许分字段修改，在订单详情上方加“修改”按钮。已处理的订单不允许分字段修改</t>
    <phoneticPr fontId="1" type="noConversion"/>
  </si>
  <si>
    <t>订单新建功能区的订单历史加入“修改”按钮</t>
    <phoneticPr fontId="1" type="noConversion"/>
  </si>
  <si>
    <t>修改功能仅分字段修改。</t>
    <phoneticPr fontId="1" type="noConversion"/>
  </si>
  <si>
    <t>工期</t>
    <phoneticPr fontId="1" type="noConversion"/>
  </si>
  <si>
    <t>新增</t>
    <phoneticPr fontId="1" type="noConversion"/>
  </si>
  <si>
    <t>重构</t>
    <phoneticPr fontId="1" type="noConversion"/>
  </si>
  <si>
    <t>总计</t>
    <phoneticPr fontId="1" type="noConversion"/>
  </si>
  <si>
    <t>重构/新增</t>
    <phoneticPr fontId="1" type="noConversion"/>
  </si>
  <si>
    <t>修改</t>
    <phoneticPr fontId="1" type="noConversion"/>
  </si>
  <si>
    <t>新增/重构</t>
    <phoneticPr fontId="1" type="noConversion"/>
  </si>
  <si>
    <t>在订单处理详情界面加入“计算器”功能</t>
    <phoneticPr fontId="1" type="noConversion"/>
  </si>
  <si>
    <t>支付状态</t>
    <phoneticPr fontId="1" type="noConversion"/>
  </si>
  <si>
    <t>完成状态</t>
    <phoneticPr fontId="1" type="noConversion"/>
  </si>
  <si>
    <t>已支付</t>
    <phoneticPr fontId="1" type="noConversion"/>
  </si>
  <si>
    <t>未支付</t>
    <phoneticPr fontId="1" type="noConversion"/>
  </si>
  <si>
    <t>未完成</t>
    <phoneticPr fontId="1" type="noConversion"/>
  </si>
  <si>
    <t>7日</t>
    <phoneticPr fontId="1" type="noConversion"/>
  </si>
  <si>
    <t>1日</t>
  </si>
  <si>
    <t>1日</t>
    <phoneticPr fontId="1" type="noConversion"/>
  </si>
  <si>
    <t>未支付金额</t>
    <phoneticPr fontId="1" type="noConversion"/>
  </si>
  <si>
    <t>所需金额（元）</t>
    <phoneticPr fontId="1" type="noConversion"/>
  </si>
  <si>
    <t>预计完成时间</t>
    <phoneticPr fontId="1" type="noConversion"/>
  </si>
  <si>
    <t>6月9日前</t>
    <phoneticPr fontId="1" type="noConversion"/>
  </si>
  <si>
    <t>6月3日前</t>
    <phoneticPr fontId="1" type="noConversion"/>
  </si>
  <si>
    <t>6月4日前</t>
    <phoneticPr fontId="1" type="noConversion"/>
  </si>
  <si>
    <t>预期价格</t>
    <phoneticPr fontId="1" type="noConversion"/>
  </si>
  <si>
    <t>实际支付</t>
    <phoneticPr fontId="1" type="noConversion"/>
  </si>
  <si>
    <t>新链接下属用户时，自动链接到所有App；解除申请功能/页面/架构设计</t>
    <phoneticPr fontId="1" type="noConversion"/>
  </si>
  <si>
    <t>差价</t>
    <phoneticPr fontId="1" type="noConversion"/>
  </si>
  <si>
    <t>随时</t>
    <phoneticPr fontId="1" type="noConversion"/>
  </si>
  <si>
    <t>已支付金额</t>
    <phoneticPr fontId="1" type="noConversion"/>
  </si>
  <si>
    <t>加入手动更新按钮</t>
    <phoneticPr fontId="1" type="noConversion"/>
  </si>
  <si>
    <t>已完成</t>
    <phoneticPr fontId="1" type="noConversion"/>
  </si>
  <si>
    <t>在聊天界面自己的气泡加时间</t>
    <phoneticPr fontId="1" type="noConversion"/>
  </si>
  <si>
    <t>实际完成时间</t>
    <phoneticPr fontId="1" type="noConversion"/>
  </si>
  <si>
    <t>撤回消息</t>
    <phoneticPr fontId="1" type="noConversion"/>
  </si>
  <si>
    <t>版本未更新时不允许访问</t>
    <phoneticPr fontId="1" type="noConversion"/>
  </si>
  <si>
    <t>订单处理的聊天按钮或员工端的联系管理员按钮上有新消息未读时显示红点</t>
    <phoneticPr fontId="1" type="noConversion"/>
  </si>
  <si>
    <t>6月5日前</t>
    <phoneticPr fontId="1" type="noConversion"/>
  </si>
  <si>
    <t>在左侧边栏加入需要已读类型的通知中心</t>
    <phoneticPr fontId="1" type="noConversion"/>
  </si>
  <si>
    <t>6月6日前</t>
    <phoneticPr fontId="1" type="noConversion"/>
  </si>
  <si>
    <t>需要显示红点、使用单独的页面进行呈现。显示各种状态更新以及聊天消息。每个通知点击进去都能跳转到对应的功能区并打开该模块。其次右上角把铃铛改成显示这种类型消息的，并且支持一件已读。其次现在原有的未完成任务铃铛图标改成其他的。已读一条消息就减少红点哦。</t>
    <phoneticPr fontId="1" type="noConversion"/>
  </si>
  <si>
    <t>模板支持上传图片</t>
    <phoneticPr fontId="1" type="noConversion"/>
  </si>
  <si>
    <t>加入一键下载图片功能，模板配置中支持图像上传表单</t>
    <phoneticPr fontId="1" type="noConversion"/>
  </si>
  <si>
    <t>订单处理详情聊天发送图片功能</t>
    <phoneticPr fontId="1" type="noConversion"/>
  </si>
  <si>
    <t>6月12日前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</si>
</sst>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等线"/>
      <family val="2"/>
      <charset val="134"/>
      <scheme val="minor"/>
    </font>
    <font>
      <sz val="9"/>
      <name val="等线"/>
      <family val="2"/>
      <charset val="134"/>
      <scheme val="minor"/>
    </font>
    <font>
      <b/>
      <sz val="12"/>
      <name val="等线"/>
      <family val="4"/>
      <charset val="134"/>
      <scheme val="minor"/>
    </font>
    <font>
      <b/>
      <sz val="12"/>
      <color theme="1"/>
      <name val="等线"/>
      <family val="4"/>
      <charset val="134"/>
      <scheme val="minor"/>
    </font>
    <font>
      <b/>
      <strike/>
      <sz val="12"/>
      <color theme="1"/>
      <name val="等线"/>
      <family val="4"/>
      <charset val="13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2" fillId="0" borderId="1" xfId="0" applyFont="1" applyBorder="1">
      <alignment vertical="center"/>
    </xf>
    <xf numFmtId="0" fontId="3" fillId="0" borderId="1" xfId="0" applyFont="1" applyBorder="1">
      <alignment vertical="center"/>
    </xf>
    <xf numFmtId="0" fontId="4" fillId="0" borderId="1" xfId="0" applyFont="1" applyBorder="1">
      <alignment vertical="center"/>
    </xf>
    <xf numFmtId="0" fontId="3" fillId="0" borderId="0" xfId="0" applyFont="1">
      <alignment vertical="center"/>
    </xf>
    <xf numFmtId="58" fontId="0" fillId="0" borderId="1" xfId="0" applyNumberFormat="1" applyBorder="1">
      <alignment vertical="center"/>
    </xf>
    <xf numFmtId="0" fontId="3" fillId="0" borderId="1" xfId="0" applyFont="1" applyBorder="1" applyAlignment="1">
      <alignment horizontal="right" vertical="center"/>
    </xf>
    <xf numFmtId="0" fontId="2" fillId="0" borderId="1" xfId="0" applyFont="1" applyBorder="1">
      <alignment vertical="center"/>
    </xf>
    <xf numFmtId="0" fontId="3" fillId="0" borderId="1" xfId="0" applyFont="1" applyBorder="1">
      <alignment vertical="center"/>
    </xf>
    <xf numFmtId="0" fontId="3" fillId="0" borderId="2" xfId="0" applyFont="1" applyBorder="1">
      <alignment vertical="center"/>
    </xf>
    <xf numFmtId="0" fontId="0" fillId="0" borderId="2" xfId="0" applyBorder="1">
      <alignment vertical="center"/>
    </xf>
  </cellXfs>
  <cellStyles count="1">
    <cellStyle name="常规"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B050"/>
      </font>
    </dxf>
    <dxf>
      <font>
        <b/>
        <i val="0"/>
        <color rgb="FFC00000"/>
      </font>
    </dxf>
    <dxf>
      <font>
        <b/>
        <i val="0"/>
        <color rgb="FF00B05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A56-1155-254D-8306-53828F17833A}">
  <sheetPr filterMode="1"/>
  <dimension ref="A1:L21"/>
  <sheetViews>
    <sheetView tabSelected="1" zoomScale="115" workbookViewId="0">
      <selection activeCell="B34" sqref="B34"/>
    </sheetView>
  </sheetViews>
  <sheetFormatPr baseColWidth="10" defaultRowHeight="16"/>
  <cols>
    <col min="2" max="2" width="29.83203125" style="1" customWidth="1"/>
    <col min="3" max="3" width="29" style="1" customWidth="1"/>
    <col min="4" max="5" width="15.5" customWidth="1"/>
    <col min="8" max="8" width="13" customWidth="1"/>
    <col min="11" max="11" width="12.5" customWidth="1"/>
    <col min="12" max="12" width="14.1640625" bestFit="1" customWidth="1"/>
  </cols>
  <sheetData>
    <row r="1" spans="1:12">
      <c r="A1" s="5" t="s">
        <v>0</v>
      </c>
      <c r="B1" s="5" t="s">
        <v>1</v>
      </c>
      <c r="C1" s="5" t="s">
        <v>2</v>
      </c>
      <c r="D1" s="5" t="s">
        <v>3</v>
      </c>
      <c r="E1" s="4" t="s">
        <v>39</v>
      </c>
      <c r="F1" s="5" t="s">
        <v>40</v>
      </c>
      <c r="G1" s="5" t="s">
        <v>42</v>
      </c>
      <c r="H1" s="5" t="s">
        <v>17</v>
      </c>
      <c r="I1" s="5" t="s">
        <v>25</v>
      </c>
      <c r="J1" s="5" t="s">
        <v>26</v>
      </c>
      <c r="K1" s="5" t="s">
        <v>35</v>
      </c>
      <c r="L1" s="5" t="s">
        <v>48</v>
      </c>
    </row>
    <row r="2" spans="1:12" ht="34" hidden="1">
      <c r="A2" s="2">
        <v>1</v>
      </c>
      <c r="B2" s="3" t="s">
        <v>4</v>
      </c>
      <c r="C2" s="3" t="s">
        <v>7</v>
      </c>
      <c r="D2" s="2" t="s">
        <v>19</v>
      </c>
      <c r="E2" s="2">
        <v>43.2</v>
      </c>
      <c r="F2" s="2">
        <v>15</v>
      </c>
      <c r="G2" s="2">
        <f>F2-E2</f>
        <v>-28.200000000000003</v>
      </c>
      <c r="H2" s="2" t="s">
        <v>30</v>
      </c>
      <c r="I2" s="2" t="s">
        <v>27</v>
      </c>
      <c r="J2" s="2" t="s">
        <v>46</v>
      </c>
      <c r="K2" s="2" t="s">
        <v>36</v>
      </c>
      <c r="L2" s="8">
        <v>46176</v>
      </c>
    </row>
    <row r="3" spans="1:12" ht="34" hidden="1">
      <c r="A3" s="2">
        <v>2</v>
      </c>
      <c r="B3" s="3" t="s">
        <v>5</v>
      </c>
      <c r="C3" s="3"/>
      <c r="D3" s="2" t="s">
        <v>18</v>
      </c>
      <c r="E3" s="2">
        <v>60</v>
      </c>
      <c r="F3" s="2">
        <v>52</v>
      </c>
      <c r="G3" s="2">
        <f t="shared" ref="G3:G20" si="0">F3-E3</f>
        <v>-8</v>
      </c>
      <c r="H3" s="2" t="s">
        <v>32</v>
      </c>
      <c r="I3" s="2" t="s">
        <v>27</v>
      </c>
      <c r="J3" s="2" t="s">
        <v>46</v>
      </c>
      <c r="K3" s="2" t="s">
        <v>37</v>
      </c>
      <c r="L3" s="8">
        <v>46176</v>
      </c>
    </row>
    <row r="4" spans="1:12" ht="34" hidden="1">
      <c r="A4" s="2">
        <v>3</v>
      </c>
      <c r="B4" s="3" t="s">
        <v>9</v>
      </c>
      <c r="C4" s="3"/>
      <c r="D4" s="2" t="s">
        <v>18</v>
      </c>
      <c r="E4" s="2">
        <v>0</v>
      </c>
      <c r="F4" s="2">
        <v>0</v>
      </c>
      <c r="G4" s="2">
        <f t="shared" si="0"/>
        <v>0</v>
      </c>
      <c r="H4" s="2" t="s">
        <v>32</v>
      </c>
      <c r="I4" s="2" t="s">
        <v>27</v>
      </c>
      <c r="J4" s="2" t="s">
        <v>46</v>
      </c>
      <c r="K4" s="2" t="s">
        <v>43</v>
      </c>
      <c r="L4" s="8">
        <v>46177</v>
      </c>
    </row>
    <row r="5" spans="1:12" ht="17" hidden="1">
      <c r="A5" s="2">
        <v>4</v>
      </c>
      <c r="B5" s="3" t="s">
        <v>6</v>
      </c>
      <c r="C5" s="3" t="s">
        <v>8</v>
      </c>
      <c r="D5" s="2" t="s">
        <v>18</v>
      </c>
      <c r="E5" s="2">
        <v>80</v>
      </c>
      <c r="F5" s="2">
        <v>62</v>
      </c>
      <c r="G5" s="2">
        <f t="shared" si="0"/>
        <v>-18</v>
      </c>
      <c r="H5" s="2" t="s">
        <v>32</v>
      </c>
      <c r="I5" s="2" t="s">
        <v>27</v>
      </c>
      <c r="J5" s="2" t="s">
        <v>46</v>
      </c>
      <c r="K5" s="2" t="s">
        <v>38</v>
      </c>
      <c r="L5" s="8">
        <v>46177</v>
      </c>
    </row>
    <row r="6" spans="1:12" ht="51" hidden="1">
      <c r="A6" s="2">
        <v>5</v>
      </c>
      <c r="B6" s="3" t="s">
        <v>10</v>
      </c>
      <c r="C6" s="3" t="s">
        <v>41</v>
      </c>
      <c r="D6" s="2" t="s">
        <v>21</v>
      </c>
      <c r="E6" s="2">
        <v>70</v>
      </c>
      <c r="F6" s="2">
        <v>70</v>
      </c>
      <c r="G6" s="2">
        <f t="shared" si="0"/>
        <v>0</v>
      </c>
      <c r="H6" s="2" t="s">
        <v>32</v>
      </c>
      <c r="I6" s="2" t="s">
        <v>28</v>
      </c>
      <c r="J6" s="2" t="s">
        <v>29</v>
      </c>
      <c r="K6" s="2"/>
      <c r="L6" s="2"/>
    </row>
    <row r="7" spans="1:12" ht="34" hidden="1">
      <c r="A7" s="2">
        <v>6</v>
      </c>
      <c r="B7" s="3" t="s">
        <v>11</v>
      </c>
      <c r="C7" s="3"/>
      <c r="D7" s="2" t="s">
        <v>22</v>
      </c>
      <c r="E7" s="2">
        <v>0</v>
      </c>
      <c r="F7" s="2">
        <v>0</v>
      </c>
      <c r="G7" s="2">
        <f t="shared" si="0"/>
        <v>0</v>
      </c>
      <c r="H7" s="2" t="s">
        <v>32</v>
      </c>
      <c r="I7" s="2" t="s">
        <v>27</v>
      </c>
      <c r="J7" s="2" t="s">
        <v>46</v>
      </c>
      <c r="K7" s="2" t="s">
        <v>43</v>
      </c>
      <c r="L7" s="8">
        <v>46177</v>
      </c>
    </row>
    <row r="8" spans="1:12" ht="34" hidden="1">
      <c r="A8" s="2">
        <v>7</v>
      </c>
      <c r="B8" s="3" t="s">
        <v>12</v>
      </c>
      <c r="C8" s="3"/>
      <c r="D8" s="2" t="s">
        <v>22</v>
      </c>
      <c r="E8" s="2">
        <v>0</v>
      </c>
      <c r="F8" s="2">
        <v>0</v>
      </c>
      <c r="G8" s="2">
        <f t="shared" si="0"/>
        <v>0</v>
      </c>
      <c r="H8" s="2" t="s">
        <v>31</v>
      </c>
      <c r="I8" s="2" t="s">
        <v>27</v>
      </c>
      <c r="J8" s="2" t="s">
        <v>46</v>
      </c>
      <c r="K8" s="2" t="s">
        <v>43</v>
      </c>
      <c r="L8" s="8">
        <v>46177</v>
      </c>
    </row>
    <row r="9" spans="1:12" ht="17" hidden="1">
      <c r="A9" s="2">
        <v>8</v>
      </c>
      <c r="B9" s="3" t="s">
        <v>58</v>
      </c>
      <c r="C9" s="3"/>
      <c r="D9" s="2" t="s">
        <v>23</v>
      </c>
      <c r="E9" s="2">
        <v>180</v>
      </c>
      <c r="F9" s="2">
        <v>180</v>
      </c>
      <c r="G9" s="2">
        <f t="shared" si="0"/>
        <v>0</v>
      </c>
      <c r="H9" s="2" t="s">
        <v>31</v>
      </c>
      <c r="I9" s="2" t="s">
        <v>28</v>
      </c>
      <c r="J9" s="2" t="s">
        <v>29</v>
      </c>
      <c r="K9" s="2"/>
      <c r="L9" s="2"/>
    </row>
    <row r="10" spans="1:12" ht="68" hidden="1">
      <c r="A10" s="2">
        <v>9</v>
      </c>
      <c r="B10" s="3" t="s">
        <v>13</v>
      </c>
      <c r="C10" s="3" t="s">
        <v>14</v>
      </c>
      <c r="D10" s="2" t="s">
        <v>18</v>
      </c>
      <c r="E10" s="2">
        <v>50</v>
      </c>
      <c r="F10" s="2">
        <v>39</v>
      </c>
      <c r="G10" s="2">
        <f t="shared" si="0"/>
        <v>-11</v>
      </c>
      <c r="H10" s="2" t="s">
        <v>32</v>
      </c>
      <c r="I10" s="2" t="s">
        <v>27</v>
      </c>
      <c r="J10" s="2" t="s">
        <v>46</v>
      </c>
      <c r="K10" s="2" t="s">
        <v>38</v>
      </c>
      <c r="L10" s="8">
        <v>46177</v>
      </c>
    </row>
    <row r="11" spans="1:12" ht="34" hidden="1">
      <c r="A11" s="2">
        <v>10</v>
      </c>
      <c r="B11" s="3" t="s">
        <v>15</v>
      </c>
      <c r="C11" s="3" t="s">
        <v>16</v>
      </c>
      <c r="D11" s="2" t="s">
        <v>18</v>
      </c>
      <c r="E11" s="2">
        <v>50</v>
      </c>
      <c r="F11" s="2">
        <v>39</v>
      </c>
      <c r="G11" s="2">
        <f t="shared" si="0"/>
        <v>-11</v>
      </c>
      <c r="H11" s="2" t="s">
        <v>31</v>
      </c>
      <c r="I11" s="2" t="s">
        <v>27</v>
      </c>
      <c r="J11" s="2" t="s">
        <v>46</v>
      </c>
      <c r="K11" s="2" t="s">
        <v>38</v>
      </c>
      <c r="L11" s="8">
        <v>46177</v>
      </c>
    </row>
    <row r="12" spans="1:12" ht="34" hidden="1">
      <c r="A12" s="2">
        <v>11</v>
      </c>
      <c r="B12" s="3" t="s">
        <v>24</v>
      </c>
      <c r="C12" s="3"/>
      <c r="D12" s="2" t="s">
        <v>18</v>
      </c>
      <c r="E12" s="2">
        <v>100</v>
      </c>
      <c r="F12" s="2">
        <v>100</v>
      </c>
      <c r="G12" s="2">
        <f t="shared" si="0"/>
        <v>0</v>
      </c>
      <c r="H12" s="2" t="s">
        <v>32</v>
      </c>
      <c r="I12" s="2" t="s">
        <v>28</v>
      </c>
      <c r="J12" s="2" t="s">
        <v>29</v>
      </c>
      <c r="K12" s="2"/>
      <c r="L12" s="2"/>
    </row>
    <row r="13" spans="1:12" ht="17" hidden="1">
      <c r="A13" s="2">
        <v>12</v>
      </c>
      <c r="B13" s="3" t="s">
        <v>45</v>
      </c>
      <c r="C13" s="3"/>
      <c r="D13" s="2" t="s">
        <v>18</v>
      </c>
      <c r="E13" s="2">
        <v>0</v>
      </c>
      <c r="F13" s="2">
        <v>0</v>
      </c>
      <c r="G13" s="2">
        <f t="shared" si="0"/>
        <v>0</v>
      </c>
      <c r="H13" s="2" t="s">
        <v>32</v>
      </c>
      <c r="I13" s="2" t="s">
        <v>27</v>
      </c>
      <c r="J13" s="2" t="s">
        <v>46</v>
      </c>
      <c r="K13" s="2" t="s">
        <v>43</v>
      </c>
      <c r="L13" s="8">
        <v>46176</v>
      </c>
    </row>
    <row r="14" spans="1:12" ht="17" hidden="1">
      <c r="A14" s="2">
        <v>13</v>
      </c>
      <c r="B14" s="3" t="s">
        <v>47</v>
      </c>
      <c r="C14" s="3"/>
      <c r="D14" s="2" t="s">
        <v>18</v>
      </c>
      <c r="E14" s="2">
        <v>0</v>
      </c>
      <c r="F14" s="2">
        <v>0</v>
      </c>
      <c r="G14" s="2">
        <f t="shared" si="0"/>
        <v>0</v>
      </c>
      <c r="H14" s="2" t="s">
        <v>32</v>
      </c>
      <c r="I14" s="2" t="s">
        <v>27</v>
      </c>
      <c r="J14" s="2" t="s">
        <v>46</v>
      </c>
      <c r="K14" s="2" t="s">
        <v>43</v>
      </c>
      <c r="L14" s="8">
        <v>46177</v>
      </c>
    </row>
    <row r="15" spans="1:12" ht="17" hidden="1">
      <c r="A15" s="2">
        <v>14</v>
      </c>
      <c r="B15" s="3" t="s">
        <v>49</v>
      </c>
      <c r="C15" s="3"/>
      <c r="D15" s="2" t="s">
        <v>18</v>
      </c>
      <c r="E15" s="2">
        <v>30</v>
      </c>
      <c r="F15" s="2">
        <v>30</v>
      </c>
      <c r="G15" s="2">
        <f t="shared" si="0"/>
        <v>0</v>
      </c>
      <c r="H15" s="2" t="s">
        <v>32</v>
      </c>
      <c r="I15" s="2" t="s">
        <v>28</v>
      </c>
      <c r="J15" s="2" t="s">
        <v>29</v>
      </c>
      <c r="K15" s="2" t="s">
        <v>38</v>
      </c>
      <c r="L15" s="2"/>
    </row>
    <row r="16" spans="1:12" ht="17" hidden="1">
      <c r="A16" s="2">
        <v>15</v>
      </c>
      <c r="B16" s="3" t="s">
        <v>50</v>
      </c>
      <c r="C16" s="3"/>
      <c r="D16" s="2" t="s">
        <v>18</v>
      </c>
      <c r="E16" s="2">
        <v>0</v>
      </c>
      <c r="F16" s="2">
        <v>0</v>
      </c>
      <c r="G16" s="2">
        <f t="shared" si="0"/>
        <v>0</v>
      </c>
      <c r="H16" s="2" t="s">
        <v>32</v>
      </c>
      <c r="I16" s="2" t="s">
        <v>27</v>
      </c>
      <c r="J16" s="2" t="s">
        <v>46</v>
      </c>
      <c r="K16" s="2" t="s">
        <v>43</v>
      </c>
      <c r="L16" s="8">
        <v>46177</v>
      </c>
    </row>
    <row r="17" spans="1:12" ht="51" hidden="1">
      <c r="A17" s="2">
        <v>16</v>
      </c>
      <c r="B17" s="3" t="s">
        <v>51</v>
      </c>
      <c r="C17" s="3"/>
      <c r="D17" s="2" t="s">
        <v>22</v>
      </c>
      <c r="E17" s="2">
        <v>0</v>
      </c>
      <c r="F17" s="2">
        <v>0</v>
      </c>
      <c r="G17" s="2">
        <f t="shared" si="0"/>
        <v>0</v>
      </c>
      <c r="H17" s="2" t="s">
        <v>32</v>
      </c>
      <c r="I17" s="2" t="s">
        <v>27</v>
      </c>
      <c r="J17" s="2" t="s">
        <v>46</v>
      </c>
      <c r="K17" s="2" t="s">
        <v>52</v>
      </c>
      <c r="L17" s="8">
        <v>46178</v>
      </c>
    </row>
    <row r="18" spans="1:12" ht="153" hidden="1">
      <c r="A18" s="2">
        <v>17</v>
      </c>
      <c r="B18" s="3" t="s">
        <v>53</v>
      </c>
      <c r="C18" s="3" t="s">
        <v>55</v>
      </c>
      <c r="D18" s="2" t="s">
        <v>19</v>
      </c>
      <c r="E18" s="2">
        <v>60</v>
      </c>
      <c r="F18" s="2">
        <v>50</v>
      </c>
      <c r="G18" s="2">
        <f t="shared" si="0"/>
        <v>-10</v>
      </c>
      <c r="H18" s="2" t="s">
        <v>32</v>
      </c>
      <c r="I18" s="2" t="s">
        <v>27</v>
      </c>
      <c r="J18" s="2" t="s">
        <v>46</v>
      </c>
      <c r="K18" s="2" t="s">
        <v>54</v>
      </c>
      <c r="L18" s="8">
        <v>46178</v>
      </c>
    </row>
    <row r="19" spans="1:12" ht="34">
      <c r="A19" s="2">
        <v>18</v>
      </c>
      <c r="B19" s="3" t="s">
        <v>56</v>
      </c>
      <c r="C19" s="3" t="s">
        <v>57</v>
      </c>
      <c r="D19" s="2" t="s">
        <v>18</v>
      </c>
      <c r="E19" s="2">
        <v>170</v>
      </c>
      <c r="F19" s="2">
        <v>130</v>
      </c>
      <c r="G19" s="2">
        <f t="shared" si="0"/>
        <v>-40</v>
      </c>
      <c r="H19" s="2" t="s">
        <v>32</v>
      </c>
      <c r="I19" s="2" t="s">
        <v>27</v>
      </c>
      <c r="J19" s="2" t="s">
        <v>29</v>
      </c>
      <c r="K19" s="2" t="s">
        <v>59</v>
      </c>
      <c r="L19" s="8"/>
    </row>
    <row r="20" spans="1:12" s="7" customFormat="1" hidden="1">
      <c r="A20" s="9" t="s">
        <v>20</v>
      </c>
      <c r="B20" s="9"/>
      <c r="C20" s="9"/>
      <c r="D20" s="5" t="s">
        <v>34</v>
      </c>
      <c r="E20" s="6">
        <f>SUM(E2:E19)</f>
        <v>893.2</v>
      </c>
      <c r="F20" s="4">
        <f>SUM(F2:F19)</f>
        <v>767</v>
      </c>
      <c r="G20" s="2">
        <f t="shared" si="0"/>
        <v>-126.20000000000005</v>
      </c>
      <c r="H20" s="10" t="s">
        <v>33</v>
      </c>
      <c r="I20" s="10"/>
      <c r="J20" s="11">
        <f>F20-SUMIF(I2:I12,"已支付",F2:F12)</f>
        <v>560</v>
      </c>
      <c r="K20" s="11"/>
      <c r="L20" s="5"/>
    </row>
    <row r="21" spans="1:12" hidden="1">
      <c r="H21" s="12" t="s">
        <v>44</v>
      </c>
      <c r="I21" s="13"/>
      <c r="J21" s="12">
        <f>SUMIF(I2:I12,"已支付",F2:F12)</f>
        <v>207</v>
      </c>
      <c r="K21" s="12"/>
    </row>
  </sheetData>
  <autoFilter ref="A1:L21" xr:uid="{D86C6A56-1155-254D-8306-53828F17833A}">
    <filterColumn colId="8">
      <filters>
        <filter val="已支付"/>
      </filters>
    </filterColumn>
    <filterColumn colId="9">
      <filters>
        <filter val="未完成"/>
      </filters>
    </filterColumn>
  </autoFilter>
  <mergeCells count="5">
    <mergeCell ref="A20:C20"/>
    <mergeCell ref="H20:I20"/>
    <mergeCell ref="J20:K20"/>
    <mergeCell ref="H21:I21"/>
    <mergeCell ref="J21:K21"/>
  </mergeCells>
  <phoneticPr fontId="1" type="noConversion"/>
  <conditionalFormatting sqref="E2:E1048576">
    <cfRule type="cellIs" dxfId="6" priority="3" stopIfTrue="1" operator="notEqual">
      <formula>0</formula>
    </cfRule>
    <cfRule type="cellIs" dxfId="5" priority="4" operator="equal">
      <formula>0</formula>
    </cfRule>
  </conditionalFormatting>
  <conditionalFormatting sqref="F2:G1048576">
    <cfRule type="cellIs" dxfId="4" priority="1" operator="notEqual">
      <formula>0</formula>
    </cfRule>
    <cfRule type="cellIs" dxfId="3" priority="2" operator="equal">
      <formula>0</formula>
    </cfRule>
  </conditionalFormatting>
  <conditionalFormatting sqref="I1:I19 J20 I22:I1048576">
    <cfRule type="cellIs" dxfId="2" priority="8" operator="equal">
      <formula>"已支付"</formula>
    </cfRule>
    <cfRule type="cellIs" dxfId="1" priority="9" operator="equal">
      <formula>"未支付"</formula>
    </cfRule>
  </conditionalFormatting>
  <conditionalFormatting sqref="J1:J1048576">
    <cfRule type="cellIs" dxfId="0" priority="7" operator="equal">
      <formula>"已完成"</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奕童 王</dc:creator>
  <cp:lastModifiedBy>奕童 王</cp:lastModifiedBy>
  <dcterms:created xsi:type="dcterms:W3CDTF">2026-06-02T00:24:39Z</dcterms:created>
  <dcterms:modified xsi:type="dcterms:W3CDTF">2026-06-06T17:14:56Z</dcterms:modified>
</cp:coreProperties>
</file>